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카카오톡 받은 파일\"/>
    </mc:Choice>
  </mc:AlternateContent>
  <bookViews>
    <workbookView xWindow="-120" yWindow="-120" windowWidth="29040" windowHeight="17520" activeTab="3"/>
  </bookViews>
  <sheets>
    <sheet name="G82_Row" sheetId="6" r:id="rId1"/>
    <sheet name="G81_Row" sheetId="7" r:id="rId2"/>
    <sheet name="G72_Row" sheetId="8" r:id="rId3"/>
    <sheet name="Block-8G" sheetId="9" r:id="rId4"/>
    <sheet name="Block-7G" sheetId="10" r:id="rId5"/>
    <sheet name="Block-6G" sheetId="11" r:id="rId6"/>
    <sheet name="Block-5G(확인중)" sheetId="12" r:id="rId7"/>
    <sheet name="Block-4G" sheetId="13" r:id="rId8"/>
    <sheet name="PNC_Row_Position_Table" sheetId="2" r:id="rId9"/>
    <sheet name="Park_Position_Table" sheetId="3" r:id="rId10"/>
  </sheets>
  <definedNames>
    <definedName name="_xlnm._FilterDatabase" localSheetId="3" hidden="1">'Block-8G'!$B$2:$B$99</definedName>
    <definedName name="_xlnm._FilterDatabase" localSheetId="9" hidden="1">Park_Position_Table!$A$1:$D$1</definedName>
    <definedName name="_xlnm._FilterDatabase" localSheetId="8" hidden="1">PNC_Row_Position_Table!$A$1:$E$1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4" i="9"/>
  <c r="J5" i="9"/>
  <c r="I2" i="9"/>
  <c r="J3" i="6"/>
  <c r="J5" i="6"/>
  <c r="J6" i="6"/>
  <c r="J7" i="6"/>
  <c r="J8" i="6"/>
  <c r="J9" i="6"/>
  <c r="J10" i="6"/>
  <c r="J11" i="6"/>
  <c r="J12" i="6"/>
  <c r="J13" i="6"/>
  <c r="J4" i="6"/>
  <c r="B4" i="13" l="1"/>
  <c r="D4" i="13"/>
  <c r="E4" i="13"/>
  <c r="B5" i="13"/>
  <c r="D5" i="13"/>
  <c r="E5" i="13"/>
  <c r="B6" i="13"/>
  <c r="D6" i="13"/>
  <c r="E6" i="13"/>
  <c r="B7" i="13"/>
  <c r="D7" i="13"/>
  <c r="E7" i="13"/>
  <c r="B8" i="13"/>
  <c r="D8" i="13"/>
  <c r="E8" i="13"/>
  <c r="B9" i="13"/>
  <c r="D9" i="13"/>
  <c r="E9" i="13"/>
  <c r="B10" i="13"/>
  <c r="D10" i="13"/>
  <c r="E10" i="13"/>
  <c r="B11" i="13"/>
  <c r="D11" i="13"/>
  <c r="E11" i="13"/>
  <c r="B12" i="13"/>
  <c r="D12" i="13"/>
  <c r="E12" i="13"/>
  <c r="B13" i="13"/>
  <c r="D13" i="13"/>
  <c r="E13" i="13"/>
  <c r="B14" i="13"/>
  <c r="D14" i="13"/>
  <c r="E14" i="13"/>
  <c r="B15" i="13"/>
  <c r="D15" i="13"/>
  <c r="E15" i="13"/>
  <c r="B16" i="13"/>
  <c r="D16" i="13"/>
  <c r="E16" i="13"/>
  <c r="B17" i="13"/>
  <c r="D17" i="13"/>
  <c r="E17" i="13"/>
  <c r="B18" i="13"/>
  <c r="D18" i="13"/>
  <c r="E18" i="13"/>
  <c r="B19" i="13"/>
  <c r="D19" i="13"/>
  <c r="E19" i="13"/>
  <c r="B20" i="13"/>
  <c r="D20" i="13"/>
  <c r="E20" i="13"/>
  <c r="B21" i="13"/>
  <c r="D21" i="13"/>
  <c r="E21" i="13"/>
  <c r="B22" i="13"/>
  <c r="D22" i="13"/>
  <c r="E22" i="13"/>
  <c r="B23" i="13"/>
  <c r="D23" i="13"/>
  <c r="E23" i="13"/>
  <c r="B24" i="13"/>
  <c r="D24" i="13"/>
  <c r="E24" i="13"/>
  <c r="B25" i="13"/>
  <c r="D25" i="13"/>
  <c r="E25" i="13"/>
  <c r="B26" i="13"/>
  <c r="D26" i="13"/>
  <c r="E26" i="13"/>
  <c r="B27" i="13"/>
  <c r="D27" i="13"/>
  <c r="E27" i="13"/>
  <c r="B28" i="13"/>
  <c r="D28" i="13"/>
  <c r="E28" i="13"/>
  <c r="B29" i="13"/>
  <c r="D29" i="13"/>
  <c r="E29" i="13"/>
  <c r="B30" i="13"/>
  <c r="D30" i="13"/>
  <c r="E30" i="13"/>
  <c r="B31" i="13"/>
  <c r="D31" i="13"/>
  <c r="E31" i="13"/>
  <c r="B32" i="13"/>
  <c r="D32" i="13"/>
  <c r="E32" i="13"/>
  <c r="B33" i="13"/>
  <c r="D33" i="13"/>
  <c r="E33" i="13"/>
  <c r="B34" i="13"/>
  <c r="D34" i="13"/>
  <c r="E34" i="13"/>
  <c r="B35" i="13"/>
  <c r="D35" i="13"/>
  <c r="E35" i="13"/>
  <c r="B36" i="13"/>
  <c r="D36" i="13"/>
  <c r="E36" i="13"/>
  <c r="B37" i="13"/>
  <c r="D37" i="13"/>
  <c r="E37" i="13"/>
  <c r="B38" i="13"/>
  <c r="D38" i="13"/>
  <c r="E38" i="13"/>
  <c r="B39" i="13"/>
  <c r="D39" i="13"/>
  <c r="E39" i="13"/>
  <c r="B40" i="13"/>
  <c r="D40" i="13"/>
  <c r="E40" i="13"/>
  <c r="B41" i="13"/>
  <c r="D41" i="13"/>
  <c r="E41" i="13"/>
  <c r="B42" i="13"/>
  <c r="D42" i="13"/>
  <c r="E42" i="13"/>
  <c r="B43" i="13"/>
  <c r="D43" i="13"/>
  <c r="E43" i="13"/>
  <c r="B44" i="13"/>
  <c r="D44" i="13"/>
  <c r="E44" i="13"/>
  <c r="B45" i="13"/>
  <c r="D45" i="13"/>
  <c r="E45" i="13"/>
  <c r="B46" i="13"/>
  <c r="D46" i="13"/>
  <c r="E46" i="13"/>
  <c r="B47" i="13"/>
  <c r="D47" i="13"/>
  <c r="E47" i="13"/>
  <c r="B48" i="13"/>
  <c r="D48" i="13"/>
  <c r="E48" i="13"/>
  <c r="B49" i="13"/>
  <c r="D49" i="13"/>
  <c r="E49" i="13"/>
  <c r="B50" i="13"/>
  <c r="D50" i="13"/>
  <c r="E50" i="13"/>
  <c r="B51" i="13"/>
  <c r="D51" i="13"/>
  <c r="E51" i="13"/>
  <c r="B52" i="13"/>
  <c r="D52" i="13"/>
  <c r="E52" i="13"/>
  <c r="B53" i="13"/>
  <c r="D53" i="13"/>
  <c r="E53" i="13"/>
  <c r="B54" i="13"/>
  <c r="D54" i="13"/>
  <c r="E54" i="13"/>
  <c r="B55" i="13"/>
  <c r="D55" i="13"/>
  <c r="E55" i="13"/>
  <c r="B56" i="13"/>
  <c r="D56" i="13"/>
  <c r="E56" i="13"/>
  <c r="B57" i="13"/>
  <c r="D57" i="13"/>
  <c r="E57" i="13"/>
  <c r="B58" i="13"/>
  <c r="D58" i="13"/>
  <c r="E58" i="13"/>
  <c r="B59" i="13"/>
  <c r="D59" i="13"/>
  <c r="E59" i="13"/>
  <c r="B60" i="13"/>
  <c r="D60" i="13"/>
  <c r="E60" i="13"/>
  <c r="B61" i="13"/>
  <c r="D61" i="13"/>
  <c r="E61" i="13"/>
  <c r="B62" i="13"/>
  <c r="D62" i="13"/>
  <c r="E62" i="13"/>
  <c r="B63" i="13"/>
  <c r="D63" i="13"/>
  <c r="E63" i="13"/>
  <c r="B64" i="13"/>
  <c r="D64" i="13"/>
  <c r="E64" i="13"/>
  <c r="B65" i="13"/>
  <c r="D65" i="13"/>
  <c r="E65" i="13"/>
  <c r="B66" i="13"/>
  <c r="D66" i="13"/>
  <c r="E66" i="13"/>
  <c r="B67" i="13"/>
  <c r="D67" i="13"/>
  <c r="E67" i="13"/>
  <c r="B68" i="13"/>
  <c r="D68" i="13"/>
  <c r="E68" i="13"/>
  <c r="B69" i="13"/>
  <c r="D69" i="13"/>
  <c r="E69" i="13"/>
  <c r="B70" i="13"/>
  <c r="D70" i="13"/>
  <c r="E70" i="13"/>
  <c r="B71" i="13"/>
  <c r="D71" i="13"/>
  <c r="E71" i="13"/>
  <c r="B72" i="13"/>
  <c r="D72" i="13"/>
  <c r="E72" i="13"/>
  <c r="B73" i="13"/>
  <c r="D73" i="13"/>
  <c r="E73" i="13"/>
  <c r="B74" i="13"/>
  <c r="D74" i="13"/>
  <c r="E74" i="13"/>
  <c r="B75" i="13"/>
  <c r="D75" i="13"/>
  <c r="E75" i="13"/>
  <c r="B76" i="13"/>
  <c r="D76" i="13"/>
  <c r="E76" i="13"/>
  <c r="B77" i="13"/>
  <c r="D77" i="13"/>
  <c r="E77" i="13"/>
  <c r="B78" i="13"/>
  <c r="D78" i="13"/>
  <c r="E78" i="13"/>
  <c r="B79" i="13"/>
  <c r="D79" i="13"/>
  <c r="E79" i="13"/>
  <c r="B80" i="13"/>
  <c r="D80" i="13"/>
  <c r="E80" i="13"/>
  <c r="B81" i="13"/>
  <c r="D81" i="13"/>
  <c r="E81" i="13"/>
  <c r="B82" i="13"/>
  <c r="D82" i="13"/>
  <c r="E82" i="13"/>
  <c r="B83" i="13"/>
  <c r="D83" i="13"/>
  <c r="E83" i="13"/>
  <c r="B84" i="13"/>
  <c r="D84" i="13"/>
  <c r="E84" i="13"/>
  <c r="B85" i="13"/>
  <c r="D85" i="13"/>
  <c r="E85" i="13"/>
  <c r="B86" i="13"/>
  <c r="D86" i="13"/>
  <c r="E86" i="13"/>
  <c r="B87" i="13"/>
  <c r="D87" i="13"/>
  <c r="E87" i="13"/>
  <c r="B88" i="13"/>
  <c r="D88" i="13"/>
  <c r="E88" i="13"/>
  <c r="B89" i="13"/>
  <c r="D89" i="13"/>
  <c r="E89" i="13"/>
  <c r="B90" i="13"/>
  <c r="D90" i="13"/>
  <c r="E90" i="13"/>
  <c r="B91" i="13"/>
  <c r="D91" i="13"/>
  <c r="E91" i="13"/>
  <c r="B92" i="13"/>
  <c r="D92" i="13"/>
  <c r="E92" i="13"/>
  <c r="B93" i="13"/>
  <c r="D93" i="13"/>
  <c r="E93" i="13"/>
  <c r="B94" i="13"/>
  <c r="D94" i="13"/>
  <c r="E94" i="13"/>
  <c r="B95" i="13"/>
  <c r="D95" i="13"/>
  <c r="E95" i="13"/>
  <c r="B96" i="13"/>
  <c r="D96" i="13"/>
  <c r="E96" i="13"/>
  <c r="B97" i="13"/>
  <c r="D97" i="13"/>
  <c r="E97" i="13"/>
  <c r="D4" i="12"/>
  <c r="E4" i="12"/>
  <c r="D5" i="12"/>
  <c r="E5" i="12"/>
  <c r="D6" i="12"/>
  <c r="E6" i="12"/>
  <c r="D7" i="12"/>
  <c r="E7" i="12"/>
  <c r="D8" i="12"/>
  <c r="E8" i="12"/>
  <c r="D9" i="12"/>
  <c r="E9" i="12"/>
  <c r="D10" i="12"/>
  <c r="E10" i="12"/>
  <c r="D11" i="12"/>
  <c r="E11" i="12"/>
  <c r="D12" i="12"/>
  <c r="E12" i="12"/>
  <c r="D13" i="12"/>
  <c r="E13" i="12"/>
  <c r="D14" i="12"/>
  <c r="E14" i="12"/>
  <c r="D15" i="12"/>
  <c r="E15" i="12"/>
  <c r="D16" i="12"/>
  <c r="E16" i="12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D28" i="12"/>
  <c r="E28" i="12"/>
  <c r="D29" i="12"/>
  <c r="E29" i="12"/>
  <c r="D30" i="12"/>
  <c r="E30" i="12"/>
  <c r="D31" i="12"/>
  <c r="E31" i="12"/>
  <c r="D32" i="12"/>
  <c r="E32" i="12"/>
  <c r="D33" i="12"/>
  <c r="E33" i="12"/>
  <c r="D34" i="12"/>
  <c r="E34" i="12"/>
  <c r="D35" i="12"/>
  <c r="E35" i="12"/>
  <c r="D36" i="12"/>
  <c r="E36" i="12"/>
  <c r="D37" i="12"/>
  <c r="E37" i="12"/>
  <c r="D38" i="12"/>
  <c r="E38" i="12"/>
  <c r="D39" i="12"/>
  <c r="E39" i="12"/>
  <c r="D40" i="12"/>
  <c r="E40" i="12"/>
  <c r="D41" i="12"/>
  <c r="E41" i="12"/>
  <c r="D42" i="12"/>
  <c r="E42" i="12"/>
  <c r="D43" i="12"/>
  <c r="E43" i="12"/>
  <c r="D44" i="12"/>
  <c r="E44" i="12"/>
  <c r="D45" i="12"/>
  <c r="E45" i="12"/>
  <c r="D46" i="12"/>
  <c r="E46" i="12"/>
  <c r="D47" i="12"/>
  <c r="E47" i="12"/>
  <c r="D48" i="12"/>
  <c r="E48" i="12"/>
  <c r="D49" i="12"/>
  <c r="E49" i="12"/>
  <c r="D50" i="12"/>
  <c r="E50" i="12"/>
  <c r="D51" i="12"/>
  <c r="E51" i="12"/>
  <c r="D52" i="12"/>
  <c r="E52" i="12"/>
  <c r="D53" i="12"/>
  <c r="E53" i="12"/>
  <c r="D54" i="12"/>
  <c r="E54" i="12"/>
  <c r="D55" i="12"/>
  <c r="E55" i="12"/>
  <c r="D56" i="12"/>
  <c r="E56" i="12"/>
  <c r="D57" i="12"/>
  <c r="E57" i="12"/>
  <c r="D58" i="12"/>
  <c r="E58" i="12"/>
  <c r="D59" i="12"/>
  <c r="E59" i="12"/>
  <c r="D60" i="12"/>
  <c r="E60" i="12"/>
  <c r="D61" i="12"/>
  <c r="E61" i="12"/>
  <c r="D62" i="12"/>
  <c r="E62" i="12"/>
  <c r="D63" i="12"/>
  <c r="E63" i="12"/>
  <c r="D64" i="12"/>
  <c r="E64" i="12"/>
  <c r="D65" i="12"/>
  <c r="E65" i="12"/>
  <c r="D66" i="12"/>
  <c r="E66" i="12"/>
  <c r="D67" i="12"/>
  <c r="E67" i="12"/>
  <c r="D68" i="12"/>
  <c r="E68" i="12"/>
  <c r="D69" i="12"/>
  <c r="E69" i="12"/>
  <c r="D70" i="12"/>
  <c r="E70" i="12"/>
  <c r="D71" i="12"/>
  <c r="E71" i="12"/>
  <c r="D72" i="12"/>
  <c r="E72" i="12"/>
  <c r="D73" i="12"/>
  <c r="E73" i="12"/>
  <c r="D74" i="12"/>
  <c r="E74" i="12"/>
  <c r="D75" i="12"/>
  <c r="E75" i="12"/>
  <c r="D76" i="12"/>
  <c r="E76" i="12"/>
  <c r="D77" i="12"/>
  <c r="E77" i="12"/>
  <c r="D78" i="12"/>
  <c r="E78" i="12"/>
  <c r="D79" i="12"/>
  <c r="E79" i="12"/>
  <c r="D80" i="12"/>
  <c r="E80" i="12"/>
  <c r="D81" i="12"/>
  <c r="E81" i="12"/>
  <c r="D82" i="12"/>
  <c r="E82" i="12"/>
  <c r="D83" i="12"/>
  <c r="E83" i="12"/>
  <c r="D84" i="12"/>
  <c r="E84" i="12"/>
  <c r="D85" i="12"/>
  <c r="E85" i="12"/>
  <c r="B86" i="12"/>
  <c r="D86" i="12"/>
  <c r="E86" i="12"/>
  <c r="B87" i="12"/>
  <c r="D87" i="12"/>
  <c r="E87" i="12"/>
  <c r="B88" i="12"/>
  <c r="D88" i="12"/>
  <c r="E88" i="12"/>
  <c r="B89" i="12"/>
  <c r="D89" i="12"/>
  <c r="E89" i="12"/>
  <c r="B90" i="12"/>
  <c r="D90" i="12"/>
  <c r="E90" i="12"/>
  <c r="B91" i="12"/>
  <c r="D91" i="12"/>
  <c r="E91" i="12"/>
  <c r="B92" i="12"/>
  <c r="D92" i="12"/>
  <c r="E92" i="12"/>
  <c r="B93" i="12"/>
  <c r="D93" i="12"/>
  <c r="E93" i="12"/>
  <c r="B94" i="12"/>
  <c r="D94" i="12"/>
  <c r="E94" i="12"/>
  <c r="B95" i="12"/>
  <c r="D95" i="12"/>
  <c r="E95" i="12"/>
  <c r="B96" i="12"/>
  <c r="D96" i="12"/>
  <c r="E96" i="12"/>
  <c r="B97" i="12"/>
  <c r="D97" i="12"/>
  <c r="E97" i="12"/>
  <c r="B4" i="11"/>
  <c r="D4" i="11"/>
  <c r="E4" i="11"/>
  <c r="B5" i="11"/>
  <c r="D5" i="11"/>
  <c r="E5" i="11"/>
  <c r="B6" i="11"/>
  <c r="D6" i="11"/>
  <c r="E6" i="11"/>
  <c r="B7" i="11"/>
  <c r="D7" i="11"/>
  <c r="E7" i="11"/>
  <c r="B8" i="11"/>
  <c r="D8" i="11"/>
  <c r="E8" i="11"/>
  <c r="B9" i="11"/>
  <c r="D9" i="11"/>
  <c r="E9" i="11"/>
  <c r="B10" i="11"/>
  <c r="D10" i="11"/>
  <c r="E10" i="11"/>
  <c r="B11" i="11"/>
  <c r="D11" i="11"/>
  <c r="E11" i="11"/>
  <c r="B12" i="11"/>
  <c r="D12" i="11"/>
  <c r="E12" i="11"/>
  <c r="B13" i="11"/>
  <c r="D13" i="11"/>
  <c r="E13" i="11"/>
  <c r="B14" i="11"/>
  <c r="D14" i="11"/>
  <c r="E14" i="11"/>
  <c r="B15" i="11"/>
  <c r="D15" i="11"/>
  <c r="E15" i="11"/>
  <c r="B16" i="11"/>
  <c r="D16" i="11"/>
  <c r="E16" i="11"/>
  <c r="B17" i="11"/>
  <c r="D17" i="11"/>
  <c r="E17" i="11"/>
  <c r="B18" i="11"/>
  <c r="D18" i="11"/>
  <c r="E18" i="11"/>
  <c r="B19" i="11"/>
  <c r="D19" i="11"/>
  <c r="E19" i="11"/>
  <c r="B20" i="11"/>
  <c r="D20" i="11"/>
  <c r="E20" i="11"/>
  <c r="B21" i="11"/>
  <c r="D21" i="11"/>
  <c r="E21" i="11"/>
  <c r="B22" i="11"/>
  <c r="D22" i="11"/>
  <c r="E22" i="11"/>
  <c r="B23" i="11"/>
  <c r="D23" i="11"/>
  <c r="E23" i="11"/>
  <c r="B24" i="11"/>
  <c r="D24" i="11"/>
  <c r="E24" i="11"/>
  <c r="B25" i="11"/>
  <c r="D25" i="11"/>
  <c r="E25" i="11"/>
  <c r="B26" i="11"/>
  <c r="D26" i="11"/>
  <c r="E26" i="11"/>
  <c r="B27" i="11"/>
  <c r="D27" i="11"/>
  <c r="E27" i="11"/>
  <c r="B28" i="11"/>
  <c r="D28" i="11"/>
  <c r="E28" i="11"/>
  <c r="B29" i="11"/>
  <c r="D29" i="11"/>
  <c r="E29" i="11"/>
  <c r="B30" i="11"/>
  <c r="D30" i="11"/>
  <c r="E30" i="11"/>
  <c r="B31" i="11"/>
  <c r="D31" i="11"/>
  <c r="E31" i="11"/>
  <c r="B32" i="11"/>
  <c r="D32" i="11"/>
  <c r="E32" i="11"/>
  <c r="B33" i="11"/>
  <c r="D33" i="11"/>
  <c r="E33" i="11"/>
  <c r="B34" i="11"/>
  <c r="D34" i="11"/>
  <c r="E34" i="11"/>
  <c r="B35" i="11"/>
  <c r="D35" i="11"/>
  <c r="E35" i="11"/>
  <c r="B36" i="11"/>
  <c r="D36" i="11"/>
  <c r="E36" i="11"/>
  <c r="B37" i="11"/>
  <c r="D37" i="11"/>
  <c r="E37" i="11"/>
  <c r="B38" i="11"/>
  <c r="D38" i="11"/>
  <c r="E38" i="11"/>
  <c r="B39" i="11"/>
  <c r="D39" i="11"/>
  <c r="E39" i="11"/>
  <c r="B40" i="11"/>
  <c r="D40" i="11"/>
  <c r="E40" i="11"/>
  <c r="B41" i="11"/>
  <c r="D41" i="11"/>
  <c r="E41" i="11"/>
  <c r="B42" i="11"/>
  <c r="D42" i="11"/>
  <c r="E42" i="11"/>
  <c r="B43" i="11"/>
  <c r="D43" i="11"/>
  <c r="E43" i="11"/>
  <c r="B44" i="11"/>
  <c r="D44" i="11"/>
  <c r="E44" i="11"/>
  <c r="B45" i="11"/>
  <c r="D45" i="11"/>
  <c r="E45" i="11"/>
  <c r="B46" i="11"/>
  <c r="D46" i="11"/>
  <c r="E46" i="11"/>
  <c r="B47" i="11"/>
  <c r="D47" i="11"/>
  <c r="E47" i="11"/>
  <c r="B48" i="11"/>
  <c r="D48" i="11"/>
  <c r="E48" i="11"/>
  <c r="B49" i="11"/>
  <c r="D49" i="11"/>
  <c r="E49" i="11"/>
  <c r="B50" i="11"/>
  <c r="D50" i="11"/>
  <c r="E50" i="11"/>
  <c r="B51" i="11"/>
  <c r="D51" i="11"/>
  <c r="E51" i="11"/>
  <c r="B52" i="11"/>
  <c r="D52" i="11"/>
  <c r="E52" i="11"/>
  <c r="B53" i="11"/>
  <c r="D53" i="11"/>
  <c r="E53" i="11"/>
  <c r="B54" i="11"/>
  <c r="D54" i="11"/>
  <c r="E54" i="11"/>
  <c r="B55" i="11"/>
  <c r="D55" i="11"/>
  <c r="E55" i="11"/>
  <c r="B56" i="11"/>
  <c r="D56" i="11"/>
  <c r="E56" i="11"/>
  <c r="B57" i="11"/>
  <c r="D57" i="11"/>
  <c r="E57" i="11"/>
  <c r="B58" i="11"/>
  <c r="D58" i="11"/>
  <c r="E58" i="11"/>
  <c r="B59" i="11"/>
  <c r="D59" i="11"/>
  <c r="E59" i="11"/>
  <c r="B60" i="11"/>
  <c r="D60" i="11"/>
  <c r="E60" i="11"/>
  <c r="B61" i="11"/>
  <c r="D61" i="11"/>
  <c r="E61" i="11"/>
  <c r="B62" i="11"/>
  <c r="D62" i="11"/>
  <c r="E62" i="11"/>
  <c r="B63" i="11"/>
  <c r="D63" i="11"/>
  <c r="E63" i="11"/>
  <c r="B64" i="11"/>
  <c r="D64" i="11"/>
  <c r="E64" i="11"/>
  <c r="B65" i="11"/>
  <c r="D65" i="11"/>
  <c r="E65" i="11"/>
  <c r="B66" i="11"/>
  <c r="D66" i="11"/>
  <c r="E66" i="11"/>
  <c r="B67" i="11"/>
  <c r="D67" i="11"/>
  <c r="E67" i="11"/>
  <c r="B68" i="11"/>
  <c r="D68" i="11"/>
  <c r="E68" i="11"/>
  <c r="B69" i="11"/>
  <c r="D69" i="11"/>
  <c r="E69" i="11"/>
  <c r="B70" i="11"/>
  <c r="D70" i="11"/>
  <c r="E70" i="11"/>
  <c r="B71" i="11"/>
  <c r="D71" i="11"/>
  <c r="E71" i="11"/>
  <c r="B72" i="11"/>
  <c r="D72" i="11"/>
  <c r="E72" i="11"/>
  <c r="B73" i="11"/>
  <c r="D73" i="11"/>
  <c r="E73" i="11"/>
  <c r="B74" i="11"/>
  <c r="D74" i="11"/>
  <c r="E74" i="11"/>
  <c r="B75" i="11"/>
  <c r="D75" i="11"/>
  <c r="E75" i="11"/>
  <c r="B76" i="11"/>
  <c r="D76" i="11"/>
  <c r="E76" i="11"/>
  <c r="B77" i="11"/>
  <c r="D77" i="11"/>
  <c r="E77" i="11"/>
  <c r="B78" i="11"/>
  <c r="D78" i="11"/>
  <c r="E78" i="11"/>
  <c r="B79" i="11"/>
  <c r="D79" i="11"/>
  <c r="E79" i="11"/>
  <c r="B80" i="11"/>
  <c r="D80" i="11"/>
  <c r="E80" i="11"/>
  <c r="B81" i="11"/>
  <c r="D81" i="11"/>
  <c r="E81" i="11"/>
  <c r="B82" i="11"/>
  <c r="D82" i="11"/>
  <c r="E82" i="11"/>
  <c r="B83" i="11"/>
  <c r="D83" i="11"/>
  <c r="E83" i="11"/>
  <c r="B84" i="11"/>
  <c r="D84" i="11"/>
  <c r="E84" i="11"/>
  <c r="B85" i="11"/>
  <c r="D85" i="11"/>
  <c r="E85" i="11"/>
  <c r="B86" i="11"/>
  <c r="D86" i="11"/>
  <c r="E86" i="11"/>
  <c r="B87" i="11"/>
  <c r="D87" i="11"/>
  <c r="E87" i="11"/>
  <c r="B88" i="11"/>
  <c r="D88" i="11"/>
  <c r="E88" i="11"/>
  <c r="B89" i="11"/>
  <c r="D89" i="11"/>
  <c r="E89" i="11"/>
  <c r="B90" i="11"/>
  <c r="D90" i="11"/>
  <c r="E90" i="11"/>
  <c r="B91" i="11"/>
  <c r="D91" i="11"/>
  <c r="E91" i="11"/>
  <c r="B92" i="11"/>
  <c r="D92" i="11"/>
  <c r="E92" i="11"/>
  <c r="B93" i="11"/>
  <c r="D93" i="11"/>
  <c r="E93" i="11"/>
  <c r="B94" i="11"/>
  <c r="D94" i="11"/>
  <c r="E94" i="11"/>
  <c r="B95" i="11"/>
  <c r="D95" i="11"/>
  <c r="E95" i="11"/>
  <c r="B96" i="11"/>
  <c r="D96" i="11"/>
  <c r="E96" i="11"/>
  <c r="B97" i="11"/>
  <c r="D97" i="11"/>
  <c r="E97" i="11"/>
  <c r="B98" i="11"/>
  <c r="D98" i="11"/>
  <c r="E98" i="11"/>
  <c r="B99" i="11"/>
  <c r="D99" i="11"/>
  <c r="E99" i="11"/>
  <c r="B100" i="11"/>
  <c r="D100" i="11"/>
  <c r="B101" i="11"/>
  <c r="C101" i="11"/>
  <c r="E101" i="11" s="1"/>
  <c r="D101" i="11"/>
  <c r="B102" i="11"/>
  <c r="D102" i="11"/>
  <c r="B4" i="10"/>
  <c r="D4" i="10"/>
  <c r="E4" i="10"/>
  <c r="B5" i="10"/>
  <c r="D5" i="10"/>
  <c r="E5" i="10"/>
  <c r="B6" i="10"/>
  <c r="D6" i="10"/>
  <c r="E6" i="10"/>
  <c r="B7" i="10"/>
  <c r="D7" i="10"/>
  <c r="E7" i="10"/>
  <c r="B8" i="10"/>
  <c r="D8" i="10"/>
  <c r="E8" i="10"/>
  <c r="B9" i="10"/>
  <c r="D9" i="10"/>
  <c r="E9" i="10"/>
  <c r="B10" i="10"/>
  <c r="D10" i="10"/>
  <c r="E10" i="10"/>
  <c r="B11" i="10"/>
  <c r="D11" i="10"/>
  <c r="E11" i="10"/>
  <c r="B12" i="10"/>
  <c r="D12" i="10"/>
  <c r="E12" i="10"/>
  <c r="B13" i="10"/>
  <c r="D13" i="10"/>
  <c r="E13" i="10"/>
  <c r="B14" i="10"/>
  <c r="D14" i="10"/>
  <c r="E14" i="10"/>
  <c r="B15" i="10"/>
  <c r="D15" i="10"/>
  <c r="E15" i="10"/>
  <c r="B16" i="10"/>
  <c r="D16" i="10"/>
  <c r="E16" i="10"/>
  <c r="B17" i="10"/>
  <c r="D17" i="10"/>
  <c r="E17" i="10"/>
  <c r="B18" i="10"/>
  <c r="D18" i="10"/>
  <c r="E18" i="10"/>
  <c r="B19" i="10"/>
  <c r="D19" i="10"/>
  <c r="E19" i="10"/>
  <c r="B20" i="10"/>
  <c r="D20" i="10"/>
  <c r="E20" i="10"/>
  <c r="B21" i="10"/>
  <c r="D21" i="10"/>
  <c r="E21" i="10"/>
  <c r="B22" i="10"/>
  <c r="D22" i="10"/>
  <c r="E22" i="10"/>
  <c r="B23" i="10"/>
  <c r="D23" i="10"/>
  <c r="E23" i="10"/>
  <c r="B24" i="10"/>
  <c r="D24" i="10"/>
  <c r="E24" i="10"/>
  <c r="B25" i="10"/>
  <c r="D25" i="10"/>
  <c r="E25" i="10"/>
  <c r="B26" i="10"/>
  <c r="D26" i="10"/>
  <c r="E26" i="10"/>
  <c r="B27" i="10"/>
  <c r="D27" i="10"/>
  <c r="E27" i="10"/>
  <c r="B28" i="10"/>
  <c r="D28" i="10"/>
  <c r="E28" i="10"/>
  <c r="B29" i="10"/>
  <c r="D29" i="10"/>
  <c r="E29" i="10"/>
  <c r="B30" i="10"/>
  <c r="D30" i="10"/>
  <c r="E30" i="10"/>
  <c r="B31" i="10"/>
  <c r="D31" i="10"/>
  <c r="E31" i="10"/>
  <c r="B32" i="10"/>
  <c r="D32" i="10"/>
  <c r="E32" i="10"/>
  <c r="B33" i="10"/>
  <c r="D33" i="10"/>
  <c r="E33" i="10"/>
  <c r="B34" i="10"/>
  <c r="D34" i="10"/>
  <c r="E34" i="10"/>
  <c r="B35" i="10"/>
  <c r="D35" i="10"/>
  <c r="E35" i="10"/>
  <c r="B36" i="10"/>
  <c r="D36" i="10"/>
  <c r="E36" i="10"/>
  <c r="B37" i="10"/>
  <c r="D37" i="10"/>
  <c r="E37" i="10"/>
  <c r="B38" i="10"/>
  <c r="D38" i="10"/>
  <c r="E38" i="10"/>
  <c r="B39" i="10"/>
  <c r="D39" i="10"/>
  <c r="E39" i="10"/>
  <c r="B40" i="10"/>
  <c r="D40" i="10"/>
  <c r="E40" i="10"/>
  <c r="B41" i="10"/>
  <c r="D41" i="10"/>
  <c r="E41" i="10"/>
  <c r="B42" i="10"/>
  <c r="D42" i="10"/>
  <c r="E42" i="10"/>
  <c r="B43" i="10"/>
  <c r="D43" i="10"/>
  <c r="E43" i="10"/>
  <c r="B44" i="10"/>
  <c r="D44" i="10"/>
  <c r="E44" i="10"/>
  <c r="B45" i="10"/>
  <c r="D45" i="10"/>
  <c r="E45" i="10"/>
  <c r="B46" i="10"/>
  <c r="D46" i="10"/>
  <c r="E46" i="10"/>
  <c r="B47" i="10"/>
  <c r="D47" i="10"/>
  <c r="E47" i="10"/>
  <c r="B48" i="10"/>
  <c r="D48" i="10"/>
  <c r="E48" i="10"/>
  <c r="B49" i="10"/>
  <c r="D49" i="10"/>
  <c r="E49" i="10"/>
  <c r="B50" i="10"/>
  <c r="D50" i="10"/>
  <c r="E50" i="10"/>
  <c r="B51" i="10"/>
  <c r="D51" i="10"/>
  <c r="E51" i="10"/>
  <c r="B52" i="10"/>
  <c r="D52" i="10"/>
  <c r="E52" i="10"/>
  <c r="B53" i="10"/>
  <c r="D53" i="10"/>
  <c r="E53" i="10"/>
  <c r="B54" i="10"/>
  <c r="D54" i="10"/>
  <c r="E54" i="10"/>
  <c r="B55" i="10"/>
  <c r="D55" i="10"/>
  <c r="E55" i="10"/>
  <c r="B56" i="10"/>
  <c r="D56" i="10"/>
  <c r="E56" i="10"/>
  <c r="B57" i="10"/>
  <c r="D57" i="10"/>
  <c r="E57" i="10"/>
  <c r="B58" i="10"/>
  <c r="D58" i="10"/>
  <c r="E58" i="10"/>
  <c r="B59" i="10"/>
  <c r="D59" i="10"/>
  <c r="E59" i="10"/>
  <c r="B60" i="10"/>
  <c r="D60" i="10"/>
  <c r="E60" i="10"/>
  <c r="B61" i="10"/>
  <c r="D61" i="10"/>
  <c r="E61" i="10"/>
  <c r="B62" i="10"/>
  <c r="D62" i="10"/>
  <c r="E62" i="10"/>
  <c r="B63" i="10"/>
  <c r="D63" i="10"/>
  <c r="E63" i="10"/>
  <c r="B64" i="10"/>
  <c r="D64" i="10"/>
  <c r="E64" i="10"/>
  <c r="B65" i="10"/>
  <c r="D65" i="10"/>
  <c r="E65" i="10"/>
  <c r="B66" i="10"/>
  <c r="D66" i="10"/>
  <c r="E66" i="10"/>
  <c r="B67" i="10"/>
  <c r="D67" i="10"/>
  <c r="E67" i="10"/>
  <c r="B68" i="10"/>
  <c r="D68" i="10"/>
  <c r="E68" i="10"/>
  <c r="B69" i="10"/>
  <c r="D69" i="10"/>
  <c r="E69" i="10"/>
  <c r="B70" i="10"/>
  <c r="D70" i="10"/>
  <c r="E70" i="10"/>
  <c r="B71" i="10"/>
  <c r="D71" i="10"/>
  <c r="E71" i="10"/>
  <c r="B72" i="10"/>
  <c r="D72" i="10"/>
  <c r="E72" i="10"/>
  <c r="B73" i="10"/>
  <c r="D73" i="10"/>
  <c r="E73" i="10"/>
  <c r="B74" i="10"/>
  <c r="D74" i="10"/>
  <c r="E74" i="10"/>
  <c r="B75" i="10"/>
  <c r="D75" i="10"/>
  <c r="E75" i="10"/>
  <c r="B76" i="10"/>
  <c r="D76" i="10"/>
  <c r="E76" i="10"/>
  <c r="B77" i="10"/>
  <c r="D77" i="10"/>
  <c r="E77" i="10"/>
  <c r="B78" i="10"/>
  <c r="D78" i="10"/>
  <c r="E78" i="10"/>
  <c r="B79" i="10"/>
  <c r="D79" i="10"/>
  <c r="E79" i="10"/>
  <c r="B80" i="10"/>
  <c r="D80" i="10"/>
  <c r="E80" i="10"/>
  <c r="B81" i="10"/>
  <c r="D81" i="10"/>
  <c r="E81" i="10"/>
  <c r="B82" i="10"/>
  <c r="D82" i="10"/>
  <c r="E82" i="10"/>
  <c r="B83" i="10"/>
  <c r="D83" i="10"/>
  <c r="E83" i="10"/>
  <c r="B84" i="10"/>
  <c r="D84" i="10"/>
  <c r="E84" i="10"/>
  <c r="B85" i="10"/>
  <c r="D85" i="10"/>
  <c r="E85" i="10"/>
  <c r="B86" i="10"/>
  <c r="D86" i="10"/>
  <c r="E86" i="10"/>
  <c r="B87" i="10"/>
  <c r="D87" i="10"/>
  <c r="E87" i="10"/>
  <c r="B88" i="10"/>
  <c r="D88" i="10"/>
  <c r="E88" i="10"/>
  <c r="B89" i="10"/>
  <c r="D89" i="10"/>
  <c r="E89" i="10"/>
  <c r="B90" i="10"/>
  <c r="D90" i="10"/>
  <c r="E90" i="10"/>
  <c r="B91" i="10"/>
  <c r="D91" i="10"/>
  <c r="E91" i="10"/>
  <c r="B92" i="10"/>
  <c r="D92" i="10"/>
  <c r="E92" i="10"/>
  <c r="B93" i="10"/>
  <c r="D93" i="10"/>
  <c r="E93" i="10"/>
  <c r="B94" i="10"/>
  <c r="D94" i="10"/>
  <c r="E94" i="10"/>
  <c r="B95" i="10"/>
  <c r="D95" i="10"/>
  <c r="E95" i="10"/>
  <c r="B96" i="10"/>
  <c r="D96" i="10"/>
  <c r="E96" i="10"/>
  <c r="B97" i="10"/>
  <c r="D97" i="10"/>
  <c r="E97" i="10"/>
  <c r="B98" i="10"/>
  <c r="D98" i="10"/>
  <c r="E98" i="10"/>
  <c r="B99" i="10"/>
  <c r="D99" i="10"/>
  <c r="E99" i="10"/>
  <c r="B100" i="10"/>
  <c r="D100" i="10"/>
  <c r="B101" i="10"/>
  <c r="C101" i="10"/>
  <c r="E100" i="10" s="1"/>
  <c r="D101" i="10"/>
  <c r="B102" i="10"/>
  <c r="D102" i="10"/>
  <c r="B4" i="9"/>
  <c r="D4" i="9"/>
  <c r="E4" i="9"/>
  <c r="B5" i="9"/>
  <c r="D5" i="9"/>
  <c r="E5" i="9"/>
  <c r="B6" i="9"/>
  <c r="D6" i="9"/>
  <c r="E6" i="9"/>
  <c r="B7" i="9"/>
  <c r="D7" i="9"/>
  <c r="E7" i="9"/>
  <c r="B8" i="9"/>
  <c r="D8" i="9"/>
  <c r="E8" i="9"/>
  <c r="B9" i="9"/>
  <c r="D9" i="9"/>
  <c r="E9" i="9"/>
  <c r="B10" i="9"/>
  <c r="D10" i="9"/>
  <c r="E10" i="9"/>
  <c r="B11" i="9"/>
  <c r="D11" i="9"/>
  <c r="E11" i="9"/>
  <c r="B12" i="9"/>
  <c r="D12" i="9"/>
  <c r="E12" i="9"/>
  <c r="B13" i="9"/>
  <c r="D13" i="9"/>
  <c r="E13" i="9"/>
  <c r="B14" i="9"/>
  <c r="D14" i="9"/>
  <c r="E14" i="9"/>
  <c r="B15" i="9"/>
  <c r="D15" i="9"/>
  <c r="E15" i="9"/>
  <c r="B16" i="9"/>
  <c r="D16" i="9"/>
  <c r="E16" i="9"/>
  <c r="B17" i="9"/>
  <c r="D17" i="9"/>
  <c r="E17" i="9"/>
  <c r="B18" i="9"/>
  <c r="D18" i="9"/>
  <c r="E18" i="9"/>
  <c r="B19" i="9"/>
  <c r="D19" i="9"/>
  <c r="E19" i="9"/>
  <c r="B20" i="9"/>
  <c r="D20" i="9"/>
  <c r="E20" i="9"/>
  <c r="B21" i="9"/>
  <c r="D21" i="9"/>
  <c r="E21" i="9"/>
  <c r="B22" i="9"/>
  <c r="D22" i="9"/>
  <c r="E22" i="9"/>
  <c r="B23" i="9"/>
  <c r="D23" i="9"/>
  <c r="E23" i="9"/>
  <c r="B24" i="9"/>
  <c r="D24" i="9"/>
  <c r="E24" i="9"/>
  <c r="B25" i="9"/>
  <c r="D25" i="9"/>
  <c r="E25" i="9"/>
  <c r="B26" i="9"/>
  <c r="D26" i="9"/>
  <c r="E26" i="9"/>
  <c r="B27" i="9"/>
  <c r="D27" i="9"/>
  <c r="E27" i="9"/>
  <c r="B28" i="9"/>
  <c r="D28" i="9"/>
  <c r="E28" i="9"/>
  <c r="B29" i="9"/>
  <c r="D29" i="9"/>
  <c r="E29" i="9"/>
  <c r="B30" i="9"/>
  <c r="D30" i="9"/>
  <c r="E30" i="9"/>
  <c r="B31" i="9"/>
  <c r="D31" i="9"/>
  <c r="E31" i="9"/>
  <c r="B32" i="9"/>
  <c r="D32" i="9"/>
  <c r="E32" i="9"/>
  <c r="B33" i="9"/>
  <c r="D33" i="9"/>
  <c r="E33" i="9"/>
  <c r="B34" i="9"/>
  <c r="D34" i="9"/>
  <c r="E34" i="9"/>
  <c r="B35" i="9"/>
  <c r="D35" i="9"/>
  <c r="E35" i="9"/>
  <c r="B36" i="9"/>
  <c r="D36" i="9"/>
  <c r="E36" i="9"/>
  <c r="B37" i="9"/>
  <c r="D37" i="9"/>
  <c r="E37" i="9"/>
  <c r="B38" i="9"/>
  <c r="D38" i="9"/>
  <c r="E38" i="9"/>
  <c r="B39" i="9"/>
  <c r="D39" i="9"/>
  <c r="E39" i="9"/>
  <c r="B40" i="9"/>
  <c r="D40" i="9"/>
  <c r="E40" i="9"/>
  <c r="B41" i="9"/>
  <c r="D41" i="9"/>
  <c r="E41" i="9"/>
  <c r="B42" i="9"/>
  <c r="D42" i="9"/>
  <c r="E42" i="9"/>
  <c r="B43" i="9"/>
  <c r="D43" i="9"/>
  <c r="E43" i="9"/>
  <c r="B44" i="9"/>
  <c r="D44" i="9"/>
  <c r="E44" i="9"/>
  <c r="B45" i="9"/>
  <c r="D45" i="9"/>
  <c r="E45" i="9"/>
  <c r="B46" i="9"/>
  <c r="D46" i="9"/>
  <c r="E46" i="9"/>
  <c r="B47" i="9"/>
  <c r="D47" i="9"/>
  <c r="E47" i="9"/>
  <c r="B48" i="9"/>
  <c r="D48" i="9"/>
  <c r="E48" i="9"/>
  <c r="B49" i="9"/>
  <c r="D49" i="9"/>
  <c r="E49" i="9"/>
  <c r="B50" i="9"/>
  <c r="D50" i="9"/>
  <c r="E50" i="9"/>
  <c r="B51" i="9"/>
  <c r="D51" i="9"/>
  <c r="E51" i="9"/>
  <c r="B52" i="9"/>
  <c r="D52" i="9"/>
  <c r="E52" i="9"/>
  <c r="B53" i="9"/>
  <c r="D53" i="9"/>
  <c r="E53" i="9"/>
  <c r="B54" i="9"/>
  <c r="D54" i="9"/>
  <c r="E54" i="9"/>
  <c r="B55" i="9"/>
  <c r="D55" i="9"/>
  <c r="E55" i="9"/>
  <c r="B56" i="9"/>
  <c r="D56" i="9"/>
  <c r="E56" i="9"/>
  <c r="B57" i="9"/>
  <c r="D57" i="9"/>
  <c r="E57" i="9"/>
  <c r="B58" i="9"/>
  <c r="D58" i="9"/>
  <c r="E58" i="9"/>
  <c r="B59" i="9"/>
  <c r="D59" i="9"/>
  <c r="E59" i="9"/>
  <c r="B60" i="9"/>
  <c r="D60" i="9"/>
  <c r="E60" i="9"/>
  <c r="B61" i="9"/>
  <c r="D61" i="9"/>
  <c r="E61" i="9"/>
  <c r="B62" i="9"/>
  <c r="D62" i="9"/>
  <c r="E62" i="9"/>
  <c r="B63" i="9"/>
  <c r="D63" i="9"/>
  <c r="E63" i="9"/>
  <c r="B64" i="9"/>
  <c r="D64" i="9"/>
  <c r="E64" i="9"/>
  <c r="B65" i="9"/>
  <c r="D65" i="9"/>
  <c r="E65" i="9"/>
  <c r="B66" i="9"/>
  <c r="D66" i="9"/>
  <c r="E66" i="9"/>
  <c r="B67" i="9"/>
  <c r="D67" i="9"/>
  <c r="E67" i="9"/>
  <c r="B68" i="9"/>
  <c r="D68" i="9"/>
  <c r="E68" i="9"/>
  <c r="B69" i="9"/>
  <c r="D69" i="9"/>
  <c r="E69" i="9"/>
  <c r="B70" i="9"/>
  <c r="D70" i="9"/>
  <c r="E70" i="9"/>
  <c r="B71" i="9"/>
  <c r="D71" i="9"/>
  <c r="E71" i="9"/>
  <c r="B72" i="9"/>
  <c r="D72" i="9"/>
  <c r="E72" i="9"/>
  <c r="B73" i="9"/>
  <c r="D73" i="9"/>
  <c r="E73" i="9"/>
  <c r="B74" i="9"/>
  <c r="D74" i="9"/>
  <c r="E74" i="9"/>
  <c r="B75" i="9"/>
  <c r="D75" i="9"/>
  <c r="E75" i="9"/>
  <c r="B76" i="9"/>
  <c r="D76" i="9"/>
  <c r="E76" i="9"/>
  <c r="B77" i="9"/>
  <c r="D77" i="9"/>
  <c r="E77" i="9"/>
  <c r="B78" i="9"/>
  <c r="D78" i="9"/>
  <c r="E78" i="9"/>
  <c r="B79" i="9"/>
  <c r="D79" i="9"/>
  <c r="E79" i="9"/>
  <c r="B80" i="9"/>
  <c r="D80" i="9"/>
  <c r="E80" i="9"/>
  <c r="B81" i="9"/>
  <c r="D81" i="9"/>
  <c r="E81" i="9"/>
  <c r="B82" i="9"/>
  <c r="D82" i="9"/>
  <c r="E82" i="9"/>
  <c r="B83" i="9"/>
  <c r="D83" i="9"/>
  <c r="E83" i="9"/>
  <c r="B84" i="9"/>
  <c r="D84" i="9"/>
  <c r="E84" i="9"/>
  <c r="B85" i="9"/>
  <c r="D85" i="9"/>
  <c r="E85" i="9"/>
  <c r="B86" i="9"/>
  <c r="D86" i="9"/>
  <c r="E86" i="9"/>
  <c r="B87" i="9"/>
  <c r="D87" i="9"/>
  <c r="E87" i="9"/>
  <c r="B88" i="9"/>
  <c r="D88" i="9"/>
  <c r="E88" i="9"/>
  <c r="B89" i="9"/>
  <c r="D89" i="9"/>
  <c r="E89" i="9"/>
  <c r="B90" i="9"/>
  <c r="D90" i="9"/>
  <c r="E90" i="9"/>
  <c r="B91" i="9"/>
  <c r="D91" i="9"/>
  <c r="E91" i="9"/>
  <c r="B92" i="9"/>
  <c r="D92" i="9"/>
  <c r="E92" i="9"/>
  <c r="B93" i="9"/>
  <c r="D93" i="9"/>
  <c r="E93" i="9"/>
  <c r="B94" i="9"/>
  <c r="D94" i="9"/>
  <c r="B95" i="9"/>
  <c r="C95" i="9"/>
  <c r="E94" i="9" s="1"/>
  <c r="D95" i="9"/>
  <c r="E95" i="9"/>
  <c r="B96" i="9"/>
  <c r="D96" i="9"/>
  <c r="B97" i="9"/>
  <c r="C97" i="9"/>
  <c r="E96" i="9" s="1"/>
  <c r="D97" i="9"/>
  <c r="E100" i="11" l="1"/>
  <c r="E101" i="10"/>
  <c r="C13" i="8" l="1"/>
  <c r="F12" i="8"/>
  <c r="E12" i="8"/>
  <c r="C12" i="8"/>
  <c r="F11" i="8"/>
  <c r="E11" i="8"/>
  <c r="C11" i="8"/>
  <c r="F10" i="8"/>
  <c r="E10" i="8"/>
  <c r="C10" i="8"/>
  <c r="F9" i="8"/>
  <c r="E9" i="8"/>
  <c r="C9" i="8"/>
  <c r="F8" i="8"/>
  <c r="E8" i="8"/>
  <c r="C8" i="8"/>
  <c r="F7" i="8"/>
  <c r="E7" i="8"/>
  <c r="C7" i="8"/>
  <c r="F6" i="8"/>
  <c r="E6" i="8"/>
  <c r="C6" i="8"/>
  <c r="F5" i="8"/>
  <c r="E5" i="8"/>
  <c r="C5" i="8"/>
  <c r="F4" i="8"/>
  <c r="C4" i="8"/>
  <c r="E3" i="2"/>
  <c r="E4" i="2"/>
  <c r="E5" i="2"/>
  <c r="E6" i="2"/>
  <c r="E7" i="2"/>
  <c r="E8" i="2"/>
  <c r="E9" i="2"/>
  <c r="E10" i="2"/>
  <c r="E11" i="2"/>
  <c r="E12" i="2"/>
  <c r="C13" i="7" l="1"/>
  <c r="F12" i="7"/>
  <c r="E12" i="7"/>
  <c r="C12" i="7"/>
  <c r="F11" i="7"/>
  <c r="E11" i="7"/>
  <c r="C11" i="7"/>
  <c r="F10" i="7"/>
  <c r="E10" i="7"/>
  <c r="C10" i="7"/>
  <c r="F9" i="7"/>
  <c r="E9" i="7"/>
  <c r="C9" i="7"/>
  <c r="F8" i="7"/>
  <c r="E8" i="7"/>
  <c r="C8" i="7"/>
  <c r="F7" i="7"/>
  <c r="E7" i="7"/>
  <c r="C7" i="7"/>
  <c r="F6" i="7"/>
  <c r="E6" i="7"/>
  <c r="C6" i="7"/>
  <c r="F5" i="7"/>
  <c r="E5" i="7"/>
  <c r="C5" i="7"/>
  <c r="F4" i="7"/>
  <c r="C4" i="7"/>
  <c r="E6" i="6" l="1"/>
  <c r="E7" i="6"/>
  <c r="E8" i="6"/>
  <c r="E9" i="6"/>
  <c r="E10" i="6"/>
  <c r="E11" i="6"/>
  <c r="E12" i="6"/>
  <c r="E5" i="6"/>
  <c r="C13" i="6"/>
  <c r="C12" i="6"/>
  <c r="F12" i="6"/>
  <c r="C11" i="6"/>
  <c r="F11" i="6"/>
  <c r="C10" i="6"/>
  <c r="F10" i="6"/>
  <c r="C9" i="6"/>
  <c r="F9" i="6"/>
  <c r="C8" i="6"/>
  <c r="F8" i="6"/>
  <c r="C7" i="6"/>
  <c r="F7" i="6"/>
  <c r="C6" i="6"/>
  <c r="F6" i="6"/>
  <c r="C5" i="6"/>
  <c r="F5" i="6"/>
  <c r="C4" i="6"/>
  <c r="F4" i="6"/>
</calcChain>
</file>

<file path=xl/sharedStrings.xml><?xml version="1.0" encoding="utf-8"?>
<sst xmlns="http://schemas.openxmlformats.org/spreadsheetml/2006/main" count="209" uniqueCount="110">
  <si>
    <t>Type</t>
  </si>
  <si>
    <t>Pos_diff</t>
  </si>
  <si>
    <t>Bay_ID</t>
    <phoneticPr fontId="18" type="noConversion"/>
  </si>
  <si>
    <t>Row_ID</t>
    <phoneticPr fontId="18" type="noConversion"/>
  </si>
  <si>
    <t>Row_Pos</t>
    <phoneticPr fontId="18" type="noConversion"/>
  </si>
  <si>
    <t>Row_Name</t>
    <phoneticPr fontId="18" type="noConversion"/>
  </si>
  <si>
    <t>WS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</si>
  <si>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</si>
  <si>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</si>
  <si>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</si>
  <si>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</si>
  <si>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</si>
  <si>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</si>
  <si>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</si>
  <si>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</si>
  <si>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J</t>
    <phoneticPr fontId="18" type="noConversion"/>
  </si>
  <si>
    <t>LS</t>
    <phoneticPr fontId="18" type="noConversion"/>
  </si>
  <si>
    <t>YT</t>
    <phoneticPr fontId="18" type="noConversion"/>
  </si>
  <si>
    <t>ET</t>
    <phoneticPr fontId="18" type="noConversion"/>
  </si>
  <si>
    <t>Yard</t>
    <phoneticPr fontId="18" type="noConversion"/>
  </si>
  <si>
    <t>Pos_Name</t>
    <phoneticPr fontId="18" type="noConversion"/>
  </si>
  <si>
    <t>Park_Pos1</t>
    <phoneticPr fontId="18" type="noConversion"/>
  </si>
  <si>
    <t>Park_Pos2</t>
    <phoneticPr fontId="18" type="noConversion"/>
  </si>
  <si>
    <t>Gantry_Pos</t>
    <phoneticPr fontId="18" type="noConversion"/>
  </si>
  <si>
    <t>Trolley_Pos</t>
    <phoneticPr fontId="18" type="noConversion"/>
  </si>
  <si>
    <t>Hoist_Pos</t>
    <phoneticPr fontId="18" type="noConversion"/>
  </si>
  <si>
    <t>G_Manual_Sync_Pos1</t>
    <phoneticPr fontId="18" type="noConversion"/>
  </si>
  <si>
    <t>G_Manual_Sync_Pos2</t>
    <phoneticPr fontId="18" type="noConversion"/>
  </si>
  <si>
    <t>Row_Pos(지면)</t>
    <phoneticPr fontId="18" type="noConversion"/>
  </si>
  <si>
    <t>Row_Pos(Trolley)</t>
    <phoneticPr fontId="18" type="noConversion"/>
  </si>
  <si>
    <t>Pos_diff(지면)</t>
    <phoneticPr fontId="18" type="noConversion"/>
  </si>
  <si>
    <t>Pos_diff(Trolley)</t>
    <phoneticPr fontId="18" type="noConversion"/>
  </si>
  <si>
    <t>Pos_offset(지면 - Trolley)</t>
    <phoneticPr fontId="18" type="noConversion"/>
  </si>
  <si>
    <t>G82</t>
    <phoneticPr fontId="18" type="noConversion"/>
  </si>
  <si>
    <t>G81</t>
    <phoneticPr fontId="18" type="noConversion"/>
  </si>
  <si>
    <t>WS(G2)_Synch_Pos</t>
    <phoneticPr fontId="18" type="noConversion"/>
  </si>
  <si>
    <t>LS(G1)_Synch_Pos</t>
    <phoneticPr fontId="18" type="noConversion"/>
  </si>
  <si>
    <t>Pos_Diff</t>
    <phoneticPr fontId="18" type="noConversion"/>
  </si>
  <si>
    <t>Type</t>
    <phoneticPr fontId="18" type="noConversion"/>
  </si>
  <si>
    <t>Bay_Pos</t>
    <phoneticPr fontId="18" type="noConversion"/>
  </si>
  <si>
    <t>Bay_Num</t>
    <phoneticPr fontId="18" type="noConversion"/>
  </si>
  <si>
    <t>?</t>
    <phoneticPr fontId="18" type="noConversion"/>
  </si>
  <si>
    <t xml:space="preserve"> 2159.135;</t>
  </si>
  <si>
    <t xml:space="preserve"> 2159.149;</t>
  </si>
  <si>
    <t xml:space="preserve"> 2146.519;</t>
  </si>
  <si>
    <t xml:space="preserve"> 2146.528;</t>
  </si>
  <si>
    <t xml:space="preserve"> 2133.517;</t>
  </si>
  <si>
    <t xml:space="preserve"> 2133.524;</t>
  </si>
  <si>
    <t xml:space="preserve"> 2120.508;</t>
  </si>
  <si>
    <t xml:space="preserve"> 2120.506;</t>
  </si>
  <si>
    <t xml:space="preserve"> 2107.511;</t>
  </si>
  <si>
    <t xml:space="preserve"> 2107.512;</t>
  </si>
  <si>
    <t xml:space="preserve"> 2094.521;</t>
  </si>
  <si>
    <t xml:space="preserve"> 2094.512;</t>
  </si>
  <si>
    <t xml:space="preserve"> 2081.523;</t>
  </si>
  <si>
    <t xml:space="preserve"> 2068.516;</t>
  </si>
  <si>
    <t xml:space="preserve"> 2068.528;</t>
  </si>
  <si>
    <t xml:space="preserve"> 2055.523;</t>
  </si>
  <si>
    <t xml:space="preserve"> 2055.540;</t>
  </si>
  <si>
    <t xml:space="preserve"> 2042.512;</t>
  </si>
  <si>
    <t xml:space="preserve"> 2042.524;</t>
  </si>
  <si>
    <t xml:space="preserve"> 2029.505;</t>
  </si>
  <si>
    <t xml:space="preserve"> 2029.522;</t>
  </si>
  <si>
    <t xml:space="preserve"> 2016.503;</t>
  </si>
  <si>
    <t xml:space="preserve"> 2016.529;</t>
  </si>
  <si>
    <t xml:space="preserve"> 2003.496;</t>
  </si>
  <si>
    <t xml:space="preserve"> 2003.518;</t>
  </si>
  <si>
    <t xml:space="preserve"> 1990.502;</t>
  </si>
  <si>
    <t xml:space="preserve"> 1990.500;</t>
  </si>
  <si>
    <t xml:space="preserve"> 1977.501;</t>
  </si>
  <si>
    <t xml:space="preserve"> 1977.497;</t>
  </si>
  <si>
    <t xml:space="preserve"> 1964.485;</t>
  </si>
  <si>
    <t xml:space="preserve"> 1964.515;</t>
  </si>
  <si>
    <t xml:space="preserve"> 1951.488;</t>
  </si>
  <si>
    <t xml:space="preserve"> 1951.509;</t>
  </si>
  <si>
    <t xml:space="preserve"> 1938.498;</t>
  </si>
  <si>
    <t xml:space="preserve"> 1938.505;</t>
  </si>
  <si>
    <t xml:space="preserve"> 1925.473;</t>
  </si>
  <si>
    <t xml:space="preserve"> 1925.508;</t>
  </si>
  <si>
    <t xml:space="preserve"> 1912.488;</t>
  </si>
  <si>
    <t xml:space="preserve"> 1912.495;</t>
  </si>
  <si>
    <t xml:space="preserve"> 1899.486;</t>
  </si>
  <si>
    <t xml:space="preserve"> 1899.507;</t>
  </si>
  <si>
    <t xml:space="preserve"> 1886.491;</t>
  </si>
  <si>
    <t xml:space="preserve"> 1886.478;</t>
  </si>
  <si>
    <t xml:space="preserve"> 1873.473;</t>
  </si>
  <si>
    <t xml:space="preserve"> 1873.507;</t>
  </si>
  <si>
    <t xml:space="preserve"> 1860.488;</t>
  </si>
  <si>
    <t xml:space="preserve"> 1860.503;</t>
  </si>
  <si>
    <t xml:space="preserve"> 1847.487;</t>
  </si>
  <si>
    <t xml:space="preserve"> 1847.515;</t>
  </si>
  <si>
    <t xml:space="preserve"> 1834.860;</t>
  </si>
  <si>
    <t xml:space="preserve"> 1834.898;</t>
  </si>
  <si>
    <t>G72</t>
    <phoneticPr fontId="18" type="noConversion"/>
  </si>
  <si>
    <t>8G Block -Bay Position</t>
    <phoneticPr fontId="18" type="noConversion"/>
  </si>
  <si>
    <t>7G Block -Bay Position</t>
    <phoneticPr fontId="18" type="noConversion"/>
  </si>
  <si>
    <t>6G Block -Bay Position</t>
    <phoneticPr fontId="18" type="noConversion"/>
  </si>
  <si>
    <t>5G Block -Bay Position</t>
    <phoneticPr fontId="18" type="noConversion"/>
  </si>
  <si>
    <t>4G Block -Bay Position</t>
    <phoneticPr fontId="18" type="noConversion"/>
  </si>
  <si>
    <t>bay 숫자 출력</t>
    <phoneticPr fontId="18" type="noConversion"/>
  </si>
  <si>
    <t>2, 6, 10, …</t>
    <phoneticPr fontId="18" type="noConversion"/>
  </si>
  <si>
    <t>z</t>
    <phoneticPr fontId="18" type="noConversion"/>
  </si>
  <si>
    <t>y</t>
    <phoneticPr fontId="18" type="noConversion"/>
  </si>
  <si>
    <t>x</t>
    <phoneticPr fontId="18" type="noConversion"/>
  </si>
  <si>
    <t>Unity 좌표계</t>
    <phoneticPr fontId="18" type="noConversion"/>
  </si>
  <si>
    <t>Unity -&gt; PLC Converting axis</t>
    <phoneticPr fontId="18" type="noConversion"/>
  </si>
  <si>
    <t>Gantry (z)</t>
    <phoneticPr fontId="18" type="noConversion"/>
  </si>
  <si>
    <t>Trolley : WS leg center</t>
    <phoneticPr fontId="18" type="noConversion"/>
  </si>
  <si>
    <t>Spreader : flipper 제외, 바닥 닿았을 때가 0m</t>
    <phoneticPr fontId="18" type="noConversion"/>
  </si>
  <si>
    <t>Unity와 일치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</si>
</sst>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color theme="0"/>
      <name val="맑은 고딕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76" fontId="19" fillId="33" borderId="10" xfId="0" applyNumberFormat="1" applyFont="1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20" fillId="0" borderId="10" xfId="0" applyFon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J18"/>
  <sheetViews>
    <sheetView workbookViewId="0">
      <selection activeCell="K6" sqref="K6"/>
    </sheetView>
  </sheetViews>
  <sheetFormatPr defaultRowHeight="16.5" x14ac:dyDescent="0.3"/>
  <cols>
    <col min="1" max="1" width="15.25" customWidth="1"/>
    <col min="2" max="2" width="15" bestFit="1" customWidth="1"/>
    <col min="3" max="3" width="13.625" hidden="1" customWidth="1"/>
    <col min="4" max="4" width="17.5" bestFit="1" customWidth="1"/>
    <col min="5" max="5" width="17.5" hidden="1" customWidth="1"/>
    <col min="6" max="6" width="25.375" bestFit="1" customWidth="1"/>
  </cols>
  <sheetData>
    <row r="1" spans="1:10" ht="26.25" x14ac:dyDescent="0.3">
      <c r="A1" s="15" t="s">
        <v>33</v>
      </c>
      <c r="B1" s="16"/>
      <c r="C1" s="16"/>
      <c r="D1" s="16"/>
      <c r="E1" s="16"/>
      <c r="F1" s="16"/>
    </row>
    <row r="2" spans="1:10" x14ac:dyDescent="0.3">
      <c r="A2" s="10" t="s">
        <v>5</v>
      </c>
      <c r="B2" s="10" t="s">
        <v>28</v>
      </c>
      <c r="C2" s="10" t="s">
        <v>30</v>
      </c>
      <c r="D2" s="10" t="s">
        <v>29</v>
      </c>
      <c r="E2" s="10" t="s">
        <v>31</v>
      </c>
      <c r="F2" s="10" t="s">
        <v>32</v>
      </c>
      <c r="I2" t="s">
        <v>104</v>
      </c>
    </row>
    <row r="3" spans="1:10" x14ac:dyDescent="0.3">
      <c r="A3" s="7" t="s">
        <v>6</v>
      </c>
      <c r="B3" s="1">
        <v>-3.7519999999999998</v>
      </c>
      <c r="C3" s="1"/>
      <c r="D3" s="1"/>
      <c r="E3" s="1"/>
      <c r="F3" s="1"/>
      <c r="H3">
        <v>-14.183</v>
      </c>
      <c r="I3" s="7" t="s">
        <v>6</v>
      </c>
      <c r="J3">
        <f>B3+$H$3</f>
        <v>-17.934999999999999</v>
      </c>
    </row>
    <row r="4" spans="1:10" x14ac:dyDescent="0.3">
      <c r="A4" s="7" t="s">
        <v>7</v>
      </c>
      <c r="B4" s="1">
        <v>2.823</v>
      </c>
      <c r="C4" s="1">
        <f t="shared" ref="C4:C13" si="0">B4-B3</f>
        <v>6.5749999999999993</v>
      </c>
      <c r="D4" s="1">
        <v>2.7755999999999998</v>
      </c>
      <c r="E4" s="1"/>
      <c r="F4" s="1">
        <f>B4-D4</f>
        <v>4.7400000000000109E-2</v>
      </c>
      <c r="I4" s="7" t="s">
        <v>7</v>
      </c>
      <c r="J4">
        <f>B4+$H$3</f>
        <v>-11.36</v>
      </c>
    </row>
    <row r="5" spans="1:10" x14ac:dyDescent="0.3">
      <c r="A5" s="7" t="s">
        <v>8</v>
      </c>
      <c r="B5" s="1">
        <v>5.6660000000000004</v>
      </c>
      <c r="C5" s="1">
        <f t="shared" si="0"/>
        <v>2.8430000000000004</v>
      </c>
      <c r="D5" s="9">
        <v>5.6102999999999996</v>
      </c>
      <c r="E5" s="1">
        <f>D5-D4</f>
        <v>2.8346999999999998</v>
      </c>
      <c r="F5" s="1">
        <f t="shared" ref="F5:F12" si="1">B5-D5</f>
        <v>5.5700000000000749E-2</v>
      </c>
      <c r="I5" s="7" t="s">
        <v>8</v>
      </c>
      <c r="J5">
        <f t="shared" ref="J5:J13" si="2">B5+$H$3</f>
        <v>-8.5169999999999995</v>
      </c>
    </row>
    <row r="6" spans="1:10" x14ac:dyDescent="0.3">
      <c r="A6" s="7" t="s">
        <v>9</v>
      </c>
      <c r="B6" s="1">
        <v>8.5090000000000003</v>
      </c>
      <c r="C6" s="1">
        <f t="shared" si="0"/>
        <v>2.843</v>
      </c>
      <c r="D6" s="9">
        <v>8.4736999999999991</v>
      </c>
      <c r="E6" s="1">
        <f t="shared" ref="E6:E12" si="3">D6-D5</f>
        <v>2.8633999999999995</v>
      </c>
      <c r="F6" s="1">
        <f t="shared" si="1"/>
        <v>3.5300000000001219E-2</v>
      </c>
      <c r="I6" s="7" t="s">
        <v>9</v>
      </c>
      <c r="J6">
        <f t="shared" si="2"/>
        <v>-5.6739999999999995</v>
      </c>
    </row>
    <row r="7" spans="1:10" x14ac:dyDescent="0.3">
      <c r="A7" s="7" t="s">
        <v>10</v>
      </c>
      <c r="B7" s="1">
        <v>11.352</v>
      </c>
      <c r="C7" s="1">
        <f t="shared" si="0"/>
        <v>2.843</v>
      </c>
      <c r="D7" s="9">
        <v>11.342599999999999</v>
      </c>
      <c r="E7" s="1">
        <f t="shared" si="3"/>
        <v>2.8689</v>
      </c>
      <c r="F7" s="1">
        <f t="shared" si="1"/>
        <v>9.4000000000011852E-3</v>
      </c>
      <c r="I7" s="7" t="s">
        <v>10</v>
      </c>
      <c r="J7">
        <f t="shared" si="2"/>
        <v>-2.8309999999999995</v>
      </c>
    </row>
    <row r="8" spans="1:10" x14ac:dyDescent="0.3">
      <c r="A8" s="7" t="s">
        <v>11</v>
      </c>
      <c r="B8" s="1">
        <v>14.195</v>
      </c>
      <c r="C8" s="1">
        <f t="shared" si="0"/>
        <v>2.843</v>
      </c>
      <c r="D8" s="9">
        <v>14.202999999999999</v>
      </c>
      <c r="E8" s="1">
        <f t="shared" si="3"/>
        <v>2.8604000000000003</v>
      </c>
      <c r="F8" s="1">
        <f t="shared" si="1"/>
        <v>-7.9999999999991189E-3</v>
      </c>
      <c r="I8" s="7" t="s">
        <v>11</v>
      </c>
      <c r="J8">
        <f t="shared" si="2"/>
        <v>1.2000000000000455E-2</v>
      </c>
    </row>
    <row r="9" spans="1:10" x14ac:dyDescent="0.3">
      <c r="A9" s="7" t="s">
        <v>12</v>
      </c>
      <c r="B9" s="1">
        <v>17.038</v>
      </c>
      <c r="C9" s="1">
        <f t="shared" si="0"/>
        <v>2.843</v>
      </c>
      <c r="D9" s="9">
        <v>17.0609</v>
      </c>
      <c r="E9" s="1">
        <f t="shared" si="3"/>
        <v>2.8579000000000008</v>
      </c>
      <c r="F9" s="1">
        <f t="shared" si="1"/>
        <v>-2.289999999999992E-2</v>
      </c>
      <c r="I9" s="7" t="s">
        <v>12</v>
      </c>
      <c r="J9">
        <f t="shared" si="2"/>
        <v>2.8550000000000004</v>
      </c>
    </row>
    <row r="10" spans="1:10" x14ac:dyDescent="0.3">
      <c r="A10" s="7" t="s">
        <v>13</v>
      </c>
      <c r="B10" s="1">
        <v>19.881</v>
      </c>
      <c r="C10" s="1">
        <f t="shared" si="0"/>
        <v>2.843</v>
      </c>
      <c r="D10" s="9">
        <v>19.945699999999999</v>
      </c>
      <c r="E10" s="1">
        <f t="shared" si="3"/>
        <v>2.8847999999999985</v>
      </c>
      <c r="F10" s="1">
        <f t="shared" si="1"/>
        <v>-6.4699999999998425E-2</v>
      </c>
      <c r="I10" s="7" t="s">
        <v>13</v>
      </c>
      <c r="J10">
        <f t="shared" si="2"/>
        <v>5.6980000000000004</v>
      </c>
    </row>
    <row r="11" spans="1:10" x14ac:dyDescent="0.3">
      <c r="A11" s="7" t="s">
        <v>14</v>
      </c>
      <c r="B11" s="1">
        <v>22.724</v>
      </c>
      <c r="C11" s="1">
        <f t="shared" si="0"/>
        <v>2.843</v>
      </c>
      <c r="D11" s="9">
        <v>22.795200000000001</v>
      </c>
      <c r="E11" s="1">
        <f t="shared" si="3"/>
        <v>2.8495000000000026</v>
      </c>
      <c r="F11" s="1">
        <f t="shared" si="1"/>
        <v>-7.120000000000104E-2</v>
      </c>
      <c r="I11" s="7" t="s">
        <v>14</v>
      </c>
      <c r="J11">
        <f t="shared" si="2"/>
        <v>8.5410000000000004</v>
      </c>
    </row>
    <row r="12" spans="1:10" x14ac:dyDescent="0.3">
      <c r="A12" s="7" t="s">
        <v>15</v>
      </c>
      <c r="B12" s="1">
        <v>25.567</v>
      </c>
      <c r="C12" s="1">
        <f t="shared" si="0"/>
        <v>2.843</v>
      </c>
      <c r="D12" s="9">
        <v>25.6294</v>
      </c>
      <c r="E12" s="1">
        <f t="shared" si="3"/>
        <v>2.8341999999999992</v>
      </c>
      <c r="F12" s="1">
        <f t="shared" si="1"/>
        <v>-6.2400000000000233E-2</v>
      </c>
      <c r="I12" s="7" t="s">
        <v>15</v>
      </c>
      <c r="J12">
        <f t="shared" si="2"/>
        <v>11.384</v>
      </c>
    </row>
    <row r="13" spans="1:10" x14ac:dyDescent="0.3">
      <c r="A13" s="7" t="s">
        <v>16</v>
      </c>
      <c r="B13" s="1">
        <v>32.615000000000002</v>
      </c>
      <c r="C13" s="1">
        <f t="shared" si="0"/>
        <v>7.0480000000000018</v>
      </c>
      <c r="D13" s="1"/>
      <c r="E13" s="1"/>
      <c r="F13" s="1"/>
      <c r="I13" s="7" t="s">
        <v>16</v>
      </c>
      <c r="J13">
        <f t="shared" si="2"/>
        <v>18.432000000000002</v>
      </c>
    </row>
    <row r="17" spans="9:9" x14ac:dyDescent="0.3">
      <c r="I17" t="s">
        <v>99</v>
      </c>
    </row>
    <row r="18" spans="9:9" x14ac:dyDescent="0.3">
      <c r="I18" t="s">
        <v>100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F13"/>
  <sheetViews>
    <sheetView workbookViewId="0">
      <selection sqref="A1:G1"/>
    </sheetView>
  </sheetViews>
  <sheetFormatPr defaultRowHeight="16.5" x14ac:dyDescent="0.3"/>
  <cols>
    <col min="1" max="1" width="15.25" customWidth="1"/>
    <col min="2" max="2" width="15" bestFit="1" customWidth="1"/>
    <col min="3" max="3" width="13.625" hidden="1" customWidth="1"/>
    <col min="4" max="4" width="17.5" bestFit="1" customWidth="1"/>
    <col min="5" max="5" width="17.5" hidden="1" customWidth="1"/>
    <col min="6" max="6" width="25.375" bestFit="1" customWidth="1"/>
  </cols>
  <sheetData>
    <row r="1" spans="1:6" ht="26.25" x14ac:dyDescent="0.3">
      <c r="A1" s="15" t="s">
        <v>34</v>
      </c>
      <c r="B1" s="16"/>
      <c r="C1" s="16"/>
      <c r="D1" s="16"/>
      <c r="E1" s="16"/>
      <c r="F1" s="16"/>
    </row>
    <row r="2" spans="1:6" x14ac:dyDescent="0.3">
      <c r="A2" s="10" t="s">
        <v>5</v>
      </c>
      <c r="B2" s="10" t="s">
        <v>28</v>
      </c>
      <c r="C2" s="10" t="s">
        <v>30</v>
      </c>
      <c r="D2" s="10" t="s">
        <v>29</v>
      </c>
      <c r="E2" s="10" t="s">
        <v>31</v>
      </c>
      <c r="F2" s="10" t="s">
        <v>32</v>
      </c>
    </row>
    <row r="3" spans="1:6" x14ac:dyDescent="0.3">
      <c r="A3" s="7" t="s">
        <v>6</v>
      </c>
      <c r="B3" s="1">
        <v>-3.7519999999999998</v>
      </c>
      <c r="C3" s="1"/>
      <c r="D3" s="1"/>
      <c r="E3" s="1"/>
      <c r="F3" s="1"/>
    </row>
    <row r="4" spans="1:6" x14ac:dyDescent="0.3">
      <c r="A4" s="7" t="s">
        <v>7</v>
      </c>
      <c r="B4" s="1">
        <v>2.823</v>
      </c>
      <c r="C4" s="1">
        <f t="shared" ref="C4:C13" si="0">B4-B3</f>
        <v>6.5749999999999993</v>
      </c>
      <c r="D4" s="1">
        <v>2.7252000000000001</v>
      </c>
      <c r="E4" s="1"/>
      <c r="F4" s="1">
        <f>B4-D4</f>
        <v>9.7799999999999887E-2</v>
      </c>
    </row>
    <row r="5" spans="1:6" x14ac:dyDescent="0.3">
      <c r="A5" s="7" t="s">
        <v>8</v>
      </c>
      <c r="B5" s="1">
        <v>5.6660000000000004</v>
      </c>
      <c r="C5" s="1">
        <f t="shared" si="0"/>
        <v>2.8430000000000004</v>
      </c>
      <c r="D5" s="9">
        <v>5.5445000000000002</v>
      </c>
      <c r="E5" s="1">
        <f>D5-D4</f>
        <v>2.8193000000000001</v>
      </c>
      <c r="F5" s="1">
        <f t="shared" ref="F5:F12" si="1">B5-D5</f>
        <v>0.12150000000000016</v>
      </c>
    </row>
    <row r="6" spans="1:6" x14ac:dyDescent="0.3">
      <c r="A6" s="7" t="s">
        <v>9</v>
      </c>
      <c r="B6" s="1">
        <v>8.5090000000000003</v>
      </c>
      <c r="C6" s="1">
        <f t="shared" si="0"/>
        <v>2.843</v>
      </c>
      <c r="D6" s="9">
        <v>8.3533000000000008</v>
      </c>
      <c r="E6" s="1">
        <f t="shared" ref="E6:E12" si="2">D6-D5</f>
        <v>2.8088000000000006</v>
      </c>
      <c r="F6" s="1">
        <f t="shared" si="1"/>
        <v>0.15569999999999951</v>
      </c>
    </row>
    <row r="7" spans="1:6" x14ac:dyDescent="0.3">
      <c r="A7" s="7" t="s">
        <v>10</v>
      </c>
      <c r="B7" s="1">
        <v>11.352</v>
      </c>
      <c r="C7" s="1">
        <f t="shared" si="0"/>
        <v>2.843</v>
      </c>
      <c r="D7" s="9">
        <v>11.2271</v>
      </c>
      <c r="E7" s="1">
        <f t="shared" si="2"/>
        <v>2.8737999999999992</v>
      </c>
      <c r="F7" s="1">
        <f t="shared" si="1"/>
        <v>0.12490000000000023</v>
      </c>
    </row>
    <row r="8" spans="1:6" x14ac:dyDescent="0.3">
      <c r="A8" s="7" t="s">
        <v>11</v>
      </c>
      <c r="B8" s="1">
        <v>14.195</v>
      </c>
      <c r="C8" s="1">
        <f t="shared" si="0"/>
        <v>2.843</v>
      </c>
      <c r="D8" s="9">
        <v>14.110099999999999</v>
      </c>
      <c r="E8" s="1">
        <f t="shared" si="2"/>
        <v>2.8829999999999991</v>
      </c>
      <c r="F8" s="1">
        <f t="shared" si="1"/>
        <v>8.4900000000001086E-2</v>
      </c>
    </row>
    <row r="9" spans="1:6" x14ac:dyDescent="0.3">
      <c r="A9" s="7" t="s">
        <v>12</v>
      </c>
      <c r="B9" s="1">
        <v>17.038</v>
      </c>
      <c r="C9" s="1">
        <f t="shared" si="0"/>
        <v>2.843</v>
      </c>
      <c r="D9" s="9">
        <v>16.967199999999998</v>
      </c>
      <c r="E9" s="1">
        <f t="shared" si="2"/>
        <v>2.8570999999999991</v>
      </c>
      <c r="F9" s="1">
        <f t="shared" si="1"/>
        <v>7.0800000000001972E-2</v>
      </c>
    </row>
    <row r="10" spans="1:6" x14ac:dyDescent="0.3">
      <c r="A10" s="7" t="s">
        <v>13</v>
      </c>
      <c r="B10" s="1">
        <v>19.881</v>
      </c>
      <c r="C10" s="1">
        <f t="shared" si="0"/>
        <v>2.843</v>
      </c>
      <c r="D10" s="9">
        <v>19.8187</v>
      </c>
      <c r="E10" s="1">
        <f t="shared" si="2"/>
        <v>2.8515000000000015</v>
      </c>
      <c r="F10" s="1">
        <f t="shared" si="1"/>
        <v>6.2300000000000466E-2</v>
      </c>
    </row>
    <row r="11" spans="1:6" x14ac:dyDescent="0.3">
      <c r="A11" s="7" t="s">
        <v>14</v>
      </c>
      <c r="B11" s="1">
        <v>22.724</v>
      </c>
      <c r="C11" s="1">
        <f t="shared" si="0"/>
        <v>2.843</v>
      </c>
      <c r="D11" s="9">
        <v>22.660399999999999</v>
      </c>
      <c r="E11" s="1">
        <f t="shared" si="2"/>
        <v>2.8416999999999994</v>
      </c>
      <c r="F11" s="1">
        <f t="shared" si="1"/>
        <v>6.3600000000000989E-2</v>
      </c>
    </row>
    <row r="12" spans="1:6" x14ac:dyDescent="0.3">
      <c r="A12" s="7" t="s">
        <v>15</v>
      </c>
      <c r="B12" s="1">
        <v>25.567</v>
      </c>
      <c r="C12" s="1">
        <f t="shared" si="0"/>
        <v>2.843</v>
      </c>
      <c r="D12" s="9">
        <v>25.498000000000001</v>
      </c>
      <c r="E12" s="1">
        <f t="shared" si="2"/>
        <v>2.8376000000000019</v>
      </c>
      <c r="F12" s="1">
        <f t="shared" si="1"/>
        <v>6.8999999999999062E-2</v>
      </c>
    </row>
    <row r="13" spans="1:6" x14ac:dyDescent="0.3">
      <c r="A13" s="7" t="s">
        <v>16</v>
      </c>
      <c r="B13" s="1">
        <v>32.615000000000002</v>
      </c>
      <c r="C13" s="1">
        <f t="shared" si="0"/>
        <v>7.0480000000000018</v>
      </c>
      <c r="D13" s="1"/>
      <c r="E13" s="1"/>
      <c r="F13" s="1"/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F13"/>
  <sheetViews>
    <sheetView workbookViewId="0">
      <selection activeCell="L7" sqref="L7"/>
    </sheetView>
  </sheetViews>
  <sheetFormatPr defaultRowHeight="16.5" x14ac:dyDescent="0.3"/>
  <cols>
    <col min="1" max="1" width="15.25" customWidth="1"/>
    <col min="2" max="2" width="15" bestFit="1" customWidth="1"/>
    <col min="3" max="3" width="13.625" hidden="1" customWidth="1"/>
    <col min="4" max="4" width="17.5" bestFit="1" customWidth="1"/>
    <col min="5" max="5" width="17.5" hidden="1" customWidth="1"/>
    <col min="6" max="6" width="25.375" bestFit="1" customWidth="1"/>
  </cols>
  <sheetData>
    <row r="1" spans="1:6" ht="26.25" x14ac:dyDescent="0.3">
      <c r="A1" s="15" t="s">
        <v>93</v>
      </c>
      <c r="B1" s="16"/>
      <c r="C1" s="16"/>
      <c r="D1" s="16"/>
      <c r="E1" s="16"/>
      <c r="F1" s="16"/>
    </row>
    <row r="2" spans="1:6" x14ac:dyDescent="0.3">
      <c r="A2" s="10" t="s">
        <v>5</v>
      </c>
      <c r="B2" s="10" t="s">
        <v>28</v>
      </c>
      <c r="C2" s="10" t="s">
        <v>30</v>
      </c>
      <c r="D2" s="10" t="s">
        <v>29</v>
      </c>
      <c r="E2" s="10" t="s">
        <v>31</v>
      </c>
      <c r="F2" s="10" t="s">
        <v>32</v>
      </c>
    </row>
    <row r="3" spans="1:6" x14ac:dyDescent="0.3">
      <c r="A3" s="7" t="s">
        <v>6</v>
      </c>
      <c r="B3" s="1">
        <v>-3.7519999999999998</v>
      </c>
      <c r="C3" s="1"/>
      <c r="D3" s="1"/>
      <c r="E3" s="1"/>
      <c r="F3" s="1"/>
    </row>
    <row r="4" spans="1:6" x14ac:dyDescent="0.3">
      <c r="A4" s="7" t="s">
        <v>7</v>
      </c>
      <c r="B4" s="1">
        <v>2.823</v>
      </c>
      <c r="C4" s="1">
        <f t="shared" ref="C4:C13" si="0">B4-B3</f>
        <v>6.5749999999999993</v>
      </c>
      <c r="D4" s="1">
        <v>2.8330000000000002</v>
      </c>
      <c r="E4" s="1"/>
      <c r="F4" s="1">
        <f>B4-D4</f>
        <v>-1.0000000000000231E-2</v>
      </c>
    </row>
    <row r="5" spans="1:6" x14ac:dyDescent="0.3">
      <c r="A5" s="7" t="s">
        <v>8</v>
      </c>
      <c r="B5" s="1">
        <v>5.6660000000000004</v>
      </c>
      <c r="C5" s="1">
        <f t="shared" si="0"/>
        <v>2.8430000000000004</v>
      </c>
      <c r="D5" s="9">
        <v>5.6950000000000003</v>
      </c>
      <c r="E5" s="1">
        <f>D5-D4</f>
        <v>2.8620000000000001</v>
      </c>
      <c r="F5" s="1">
        <f t="shared" ref="F5:F12" si="1">B5-D5</f>
        <v>-2.8999999999999915E-2</v>
      </c>
    </row>
    <row r="6" spans="1:6" x14ac:dyDescent="0.3">
      <c r="A6" s="7" t="s">
        <v>9</v>
      </c>
      <c r="B6" s="1">
        <v>8.5090000000000003</v>
      </c>
      <c r="C6" s="1">
        <f t="shared" si="0"/>
        <v>2.843</v>
      </c>
      <c r="D6" s="9">
        <v>8.5570000000000004</v>
      </c>
      <c r="E6" s="1">
        <f t="shared" ref="E6:E12" si="2">D6-D5</f>
        <v>2.8620000000000001</v>
      </c>
      <c r="F6" s="1">
        <f t="shared" si="1"/>
        <v>-4.8000000000000043E-2</v>
      </c>
    </row>
    <row r="7" spans="1:6" x14ac:dyDescent="0.3">
      <c r="A7" s="7" t="s">
        <v>10</v>
      </c>
      <c r="B7" s="1">
        <v>11.352</v>
      </c>
      <c r="C7" s="1">
        <f t="shared" si="0"/>
        <v>2.843</v>
      </c>
      <c r="D7" s="9">
        <v>11.397</v>
      </c>
      <c r="E7" s="1">
        <f t="shared" si="2"/>
        <v>2.84</v>
      </c>
      <c r="F7" s="1">
        <f t="shared" si="1"/>
        <v>-4.4999999999999929E-2</v>
      </c>
    </row>
    <row r="8" spans="1:6" x14ac:dyDescent="0.3">
      <c r="A8" s="7" t="s">
        <v>11</v>
      </c>
      <c r="B8" s="1">
        <v>14.195</v>
      </c>
      <c r="C8" s="1">
        <f t="shared" si="0"/>
        <v>2.843</v>
      </c>
      <c r="D8" s="9">
        <v>14.272</v>
      </c>
      <c r="E8" s="1">
        <f t="shared" si="2"/>
        <v>2.875</v>
      </c>
      <c r="F8" s="1">
        <f t="shared" si="1"/>
        <v>-7.6999999999999957E-2</v>
      </c>
    </row>
    <row r="9" spans="1:6" x14ac:dyDescent="0.3">
      <c r="A9" s="7" t="s">
        <v>12</v>
      </c>
      <c r="B9" s="1">
        <v>17.038</v>
      </c>
      <c r="C9" s="1">
        <f t="shared" si="0"/>
        <v>2.843</v>
      </c>
      <c r="D9" s="9">
        <v>17.148</v>
      </c>
      <c r="E9" s="1">
        <f t="shared" si="2"/>
        <v>2.8759999999999994</v>
      </c>
      <c r="F9" s="1">
        <f t="shared" si="1"/>
        <v>-0.10999999999999943</v>
      </c>
    </row>
    <row r="10" spans="1:6" x14ac:dyDescent="0.3">
      <c r="A10" s="7" t="s">
        <v>13</v>
      </c>
      <c r="B10" s="1">
        <v>19.881</v>
      </c>
      <c r="C10" s="1">
        <f t="shared" si="0"/>
        <v>2.843</v>
      </c>
      <c r="D10" s="9">
        <v>19.998000000000001</v>
      </c>
      <c r="E10" s="1">
        <f t="shared" si="2"/>
        <v>2.8500000000000014</v>
      </c>
      <c r="F10" s="1">
        <f t="shared" si="1"/>
        <v>-0.11700000000000088</v>
      </c>
    </row>
    <row r="11" spans="1:6" x14ac:dyDescent="0.3">
      <c r="A11" s="7" t="s">
        <v>14</v>
      </c>
      <c r="B11" s="1">
        <v>22.724</v>
      </c>
      <c r="C11" s="1">
        <f t="shared" si="0"/>
        <v>2.843</v>
      </c>
      <c r="D11" s="9">
        <v>22.853999999999999</v>
      </c>
      <c r="E11" s="1">
        <f t="shared" si="2"/>
        <v>2.8559999999999981</v>
      </c>
      <c r="F11" s="1">
        <f t="shared" si="1"/>
        <v>-0.12999999999999901</v>
      </c>
    </row>
    <row r="12" spans="1:6" x14ac:dyDescent="0.3">
      <c r="A12" s="7" t="s">
        <v>15</v>
      </c>
      <c r="B12" s="1">
        <v>25.567</v>
      </c>
      <c r="C12" s="1">
        <f t="shared" si="0"/>
        <v>2.843</v>
      </c>
      <c r="D12" s="9">
        <v>25.713000000000001</v>
      </c>
      <c r="E12" s="1">
        <f t="shared" si="2"/>
        <v>2.8590000000000018</v>
      </c>
      <c r="F12" s="1">
        <f t="shared" si="1"/>
        <v>-0.1460000000000008</v>
      </c>
    </row>
    <row r="13" spans="1:6" x14ac:dyDescent="0.3">
      <c r="A13" s="7" t="s">
        <v>16</v>
      </c>
      <c r="B13" s="1">
        <v>32.615000000000002</v>
      </c>
      <c r="C13" s="1">
        <f t="shared" si="0"/>
        <v>7.0480000000000018</v>
      </c>
      <c r="D13" s="1"/>
      <c r="E13" s="1"/>
      <c r="F13" s="1"/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Q98"/>
  <sheetViews>
    <sheetView tabSelected="1" zoomScale="115" zoomScaleNormal="115" workbookViewId="0">
      <selection activeCell="L6" sqref="L6"/>
    </sheetView>
  </sheetViews>
  <sheetFormatPr defaultRowHeight="16.5" x14ac:dyDescent="0.3"/>
  <cols>
    <col min="1" max="1" width="9.375" style="8" bestFit="1" customWidth="1"/>
    <col min="2" max="2" width="7.125" style="8" bestFit="1" customWidth="1"/>
    <col min="3" max="3" width="8.5" style="8" bestFit="1" customWidth="1"/>
    <col min="4" max="4" width="5.5" style="8" bestFit="1" customWidth="1"/>
    <col min="5" max="5" width="8.375" style="8" bestFit="1" customWidth="1"/>
    <col min="6" max="6" width="17.25" style="8" bestFit="1" customWidth="1"/>
    <col min="7" max="7" width="18.125" style="8" bestFit="1" customWidth="1"/>
    <col min="8" max="16384" width="9" style="8"/>
  </cols>
  <sheetData>
    <row r="1" spans="1:14" ht="26.25" x14ac:dyDescent="0.3">
      <c r="A1" s="17" t="s">
        <v>94</v>
      </c>
      <c r="B1" s="18"/>
      <c r="C1" s="18"/>
      <c r="D1" s="18"/>
      <c r="E1" s="18"/>
      <c r="F1" s="18"/>
      <c r="G1" s="18"/>
    </row>
    <row r="2" spans="1:14" x14ac:dyDescent="0.3">
      <c r="A2" s="11" t="s">
        <v>40</v>
      </c>
      <c r="B2" s="11" t="s">
        <v>2</v>
      </c>
      <c r="C2" s="11" t="s">
        <v>39</v>
      </c>
      <c r="D2" s="11" t="s">
        <v>38</v>
      </c>
      <c r="E2" s="11" t="s">
        <v>37</v>
      </c>
      <c r="F2" s="11" t="s">
        <v>36</v>
      </c>
      <c r="G2" s="11" t="s">
        <v>35</v>
      </c>
      <c r="I2" s="8">
        <f>-C5</f>
        <v>-2581.3000000000002</v>
      </c>
      <c r="L2" s="13" t="s">
        <v>105</v>
      </c>
      <c r="M2" s="14"/>
      <c r="N2" s="14"/>
    </row>
    <row r="3" spans="1:14" x14ac:dyDescent="0.3">
      <c r="A3" s="12">
        <v>0</v>
      </c>
      <c r="B3" s="1"/>
      <c r="C3" s="1"/>
      <c r="D3" s="1"/>
      <c r="E3" s="1"/>
      <c r="F3" s="1"/>
      <c r="G3" s="1"/>
    </row>
    <row r="4" spans="1:14" x14ac:dyDescent="0.3">
      <c r="A4" s="12">
        <v>1</v>
      </c>
      <c r="B4" s="1">
        <f t="shared" ref="B4:B35" si="0">A4*10</f>
        <v>10</v>
      </c>
      <c r="C4" s="1">
        <v>2576.73</v>
      </c>
      <c r="D4" s="1" t="str">
        <f t="shared" ref="D4:D35" si="1">IF(MOD(A4,2)=1,"20FT","40FT")</f>
        <v>20FT</v>
      </c>
      <c r="E4" s="1">
        <f t="shared" ref="E4:E35" si="2">C5-C4</f>
        <v>4.5700000000001637</v>
      </c>
      <c r="F4" s="1">
        <v>2575.0419999999999</v>
      </c>
      <c r="G4" s="1">
        <v>2575.027</v>
      </c>
      <c r="J4" s="8">
        <f>C4+$I$2</f>
        <v>-4.5700000000001637</v>
      </c>
      <c r="L4" s="14" t="s">
        <v>106</v>
      </c>
    </row>
    <row r="5" spans="1:14" x14ac:dyDescent="0.3">
      <c r="A5" s="12">
        <v>2</v>
      </c>
      <c r="B5" s="1">
        <f t="shared" si="0"/>
        <v>20</v>
      </c>
      <c r="C5" s="1">
        <v>2581.3000000000002</v>
      </c>
      <c r="D5" s="1" t="str">
        <f t="shared" si="1"/>
        <v>40FT</v>
      </c>
      <c r="E5" s="1">
        <f t="shared" si="2"/>
        <v>3.0499999999997272</v>
      </c>
      <c r="F5" s="1"/>
      <c r="G5" s="1"/>
      <c r="J5" s="8">
        <f>C5+$I$2</f>
        <v>0</v>
      </c>
      <c r="L5" s="14" t="s">
        <v>103</v>
      </c>
      <c r="M5" s="14" t="s">
        <v>102</v>
      </c>
      <c r="N5" s="14" t="s">
        <v>101</v>
      </c>
    </row>
    <row r="6" spans="1:14" x14ac:dyDescent="0.3">
      <c r="A6" s="12">
        <v>3</v>
      </c>
      <c r="B6" s="1">
        <f t="shared" si="0"/>
        <v>30</v>
      </c>
      <c r="C6" s="1">
        <v>2584.35</v>
      </c>
      <c r="D6" s="1" t="str">
        <f t="shared" si="1"/>
        <v>20FT</v>
      </c>
      <c r="E6" s="1">
        <f t="shared" si="2"/>
        <v>3.25</v>
      </c>
      <c r="F6" s="1"/>
      <c r="G6" s="1"/>
      <c r="J6" s="8">
        <f t="shared" ref="J6:J69" si="3">C6+$I$2</f>
        <v>3.0499999999997272</v>
      </c>
      <c r="L6" s="14">
        <v>14.1</v>
      </c>
      <c r="M6" s="14">
        <v>0</v>
      </c>
      <c r="N6" s="14">
        <v>2581.3000000000002</v>
      </c>
    </row>
    <row r="7" spans="1:14" x14ac:dyDescent="0.3">
      <c r="A7" s="12">
        <v>4</v>
      </c>
      <c r="B7" s="1">
        <f t="shared" si="0"/>
        <v>40</v>
      </c>
      <c r="C7" s="1">
        <v>2587.6</v>
      </c>
      <c r="D7" s="1" t="str">
        <f t="shared" si="1"/>
        <v>40FT</v>
      </c>
      <c r="E7" s="1">
        <f t="shared" si="2"/>
        <v>3.25</v>
      </c>
      <c r="F7" s="1">
        <v>2587.67</v>
      </c>
      <c r="G7" s="1">
        <v>2587.6439999999998</v>
      </c>
      <c r="J7" s="8">
        <f t="shared" si="3"/>
        <v>6.2999999999997272</v>
      </c>
      <c r="L7" s="14"/>
    </row>
    <row r="8" spans="1:14" x14ac:dyDescent="0.3">
      <c r="A8" s="12">
        <v>5</v>
      </c>
      <c r="B8" s="1">
        <f t="shared" si="0"/>
        <v>50</v>
      </c>
      <c r="C8" s="1">
        <v>2590.85</v>
      </c>
      <c r="D8" s="1" t="str">
        <f t="shared" si="1"/>
        <v>20FT</v>
      </c>
      <c r="E8" s="1">
        <f t="shared" si="2"/>
        <v>3.25</v>
      </c>
      <c r="F8" s="1"/>
      <c r="G8" s="1"/>
      <c r="J8" s="8">
        <f t="shared" si="3"/>
        <v>9.5499999999997272</v>
      </c>
      <c r="L8" s="13" t="s">
        <v>107</v>
      </c>
    </row>
    <row r="9" spans="1:14" x14ac:dyDescent="0.3">
      <c r="A9" s="12"/>
      <c r="B9" s="1">
        <f t="shared" si="0"/>
        <v>0</v>
      </c>
      <c r="C9" s="1">
        <v>2594.1</v>
      </c>
      <c r="D9" s="1" t="str">
        <f t="shared" si="1"/>
        <v>40FT</v>
      </c>
      <c r="E9" s="1">
        <f t="shared" si="2"/>
        <v>3.25</v>
      </c>
      <c r="F9" s="1"/>
      <c r="G9" s="1"/>
      <c r="J9" s="8">
        <f t="shared" si="3"/>
        <v>12.799999999999727</v>
      </c>
      <c r="L9" s="14">
        <v>14.1</v>
      </c>
    </row>
    <row r="10" spans="1:14" x14ac:dyDescent="0.3">
      <c r="A10" s="12">
        <v>7</v>
      </c>
      <c r="B10" s="1">
        <f t="shared" si="0"/>
        <v>70</v>
      </c>
      <c r="C10" s="1">
        <v>2597.35</v>
      </c>
      <c r="D10" s="1" t="str">
        <f t="shared" si="1"/>
        <v>20FT</v>
      </c>
      <c r="E10" s="1">
        <f t="shared" si="2"/>
        <v>3.25</v>
      </c>
      <c r="F10" s="1"/>
      <c r="G10" s="1"/>
      <c r="J10" s="8">
        <f t="shared" si="3"/>
        <v>16.049999999999727</v>
      </c>
      <c r="L10" s="14"/>
    </row>
    <row r="11" spans="1:14" x14ac:dyDescent="0.3">
      <c r="A11" s="12">
        <v>8</v>
      </c>
      <c r="B11" s="1">
        <f t="shared" si="0"/>
        <v>80</v>
      </c>
      <c r="C11" s="1">
        <v>2600.6</v>
      </c>
      <c r="D11" s="1" t="str">
        <f t="shared" si="1"/>
        <v>40FT</v>
      </c>
      <c r="E11" s="1">
        <f t="shared" si="2"/>
        <v>3.25</v>
      </c>
      <c r="F11" s="1">
        <v>2600.6689999999999</v>
      </c>
      <c r="G11" s="1">
        <v>2600.6529999999998</v>
      </c>
      <c r="J11" s="8">
        <f t="shared" si="3"/>
        <v>19.299999999999727</v>
      </c>
      <c r="L11" s="13" t="s">
        <v>108</v>
      </c>
    </row>
    <row r="12" spans="1:14" x14ac:dyDescent="0.3">
      <c r="A12" s="12">
        <v>9</v>
      </c>
      <c r="B12" s="1">
        <f t="shared" si="0"/>
        <v>90</v>
      </c>
      <c r="C12" s="1">
        <v>2603.85</v>
      </c>
      <c r="D12" s="1" t="str">
        <f t="shared" si="1"/>
        <v>20FT</v>
      </c>
      <c r="E12" s="1">
        <f t="shared" si="2"/>
        <v>3.25</v>
      </c>
      <c r="F12" s="1"/>
      <c r="G12" s="1"/>
      <c r="J12" s="8">
        <f t="shared" si="3"/>
        <v>22.549999999999727</v>
      </c>
      <c r="L12" s="13" t="s">
        <v>109</v>
      </c>
    </row>
    <row r="13" spans="1:14" x14ac:dyDescent="0.3">
      <c r="A13" s="12">
        <v>10</v>
      </c>
      <c r="B13" s="1">
        <f t="shared" si="0"/>
        <v>100</v>
      </c>
      <c r="C13" s="1">
        <v>2607.1</v>
      </c>
      <c r="D13" s="1" t="str">
        <f t="shared" si="1"/>
        <v>40FT</v>
      </c>
      <c r="E13" s="1">
        <f t="shared" si="2"/>
        <v>3.25</v>
      </c>
      <c r="F13" s="1"/>
      <c r="G13" s="1"/>
      <c r="J13" s="8">
        <f t="shared" si="3"/>
        <v>25.799999999999727</v>
      </c>
    </row>
    <row r="14" spans="1:14" x14ac:dyDescent="0.3">
      <c r="A14" s="12">
        <v>11</v>
      </c>
      <c r="B14" s="1">
        <f t="shared" si="0"/>
        <v>110</v>
      </c>
      <c r="C14" s="1">
        <v>2610.35</v>
      </c>
      <c r="D14" s="1" t="str">
        <f t="shared" si="1"/>
        <v>20FT</v>
      </c>
      <c r="E14" s="1">
        <f t="shared" si="2"/>
        <v>3.25</v>
      </c>
      <c r="F14" s="1"/>
      <c r="G14" s="1"/>
      <c r="J14" s="8">
        <f t="shared" si="3"/>
        <v>29.049999999999727</v>
      </c>
    </row>
    <row r="15" spans="1:14" x14ac:dyDescent="0.3">
      <c r="A15" s="12">
        <v>12</v>
      </c>
      <c r="B15" s="1">
        <f t="shared" si="0"/>
        <v>120</v>
      </c>
      <c r="C15" s="1">
        <v>2613.6</v>
      </c>
      <c r="D15" s="1" t="str">
        <f t="shared" si="1"/>
        <v>40FT</v>
      </c>
      <c r="E15" s="1">
        <f t="shared" si="2"/>
        <v>3.25</v>
      </c>
      <c r="F15" s="1">
        <v>2613.6570000000002</v>
      </c>
      <c r="G15" s="1">
        <v>2613.645</v>
      </c>
      <c r="J15" s="8">
        <f t="shared" si="3"/>
        <v>32.299999999999727</v>
      </c>
    </row>
    <row r="16" spans="1:14" x14ac:dyDescent="0.3">
      <c r="A16" s="12">
        <v>13</v>
      </c>
      <c r="B16" s="1">
        <f t="shared" si="0"/>
        <v>130</v>
      </c>
      <c r="C16" s="1">
        <v>2616.85</v>
      </c>
      <c r="D16" s="1" t="str">
        <f t="shared" si="1"/>
        <v>20FT</v>
      </c>
      <c r="E16" s="1">
        <f t="shared" si="2"/>
        <v>3.25</v>
      </c>
      <c r="F16" s="1"/>
      <c r="G16" s="1"/>
      <c r="J16" s="8">
        <f t="shared" si="3"/>
        <v>35.549999999999727</v>
      </c>
    </row>
    <row r="17" spans="1:10" x14ac:dyDescent="0.3">
      <c r="A17" s="12">
        <v>14</v>
      </c>
      <c r="B17" s="1">
        <f t="shared" si="0"/>
        <v>140</v>
      </c>
      <c r="C17" s="1">
        <v>2620.1</v>
      </c>
      <c r="D17" s="1" t="str">
        <f t="shared" si="1"/>
        <v>40FT</v>
      </c>
      <c r="E17" s="1">
        <f t="shared" si="2"/>
        <v>3.25</v>
      </c>
      <c r="F17" s="1"/>
      <c r="G17" s="1"/>
      <c r="J17" s="8">
        <f t="shared" si="3"/>
        <v>38.799999999999727</v>
      </c>
    </row>
    <row r="18" spans="1:10" x14ac:dyDescent="0.3">
      <c r="A18" s="12">
        <v>15</v>
      </c>
      <c r="B18" s="1">
        <f t="shared" si="0"/>
        <v>150</v>
      </c>
      <c r="C18" s="1">
        <v>2623.35</v>
      </c>
      <c r="D18" s="1" t="str">
        <f t="shared" si="1"/>
        <v>20FT</v>
      </c>
      <c r="E18" s="1">
        <f t="shared" si="2"/>
        <v>3.25</v>
      </c>
      <c r="F18" s="1"/>
      <c r="G18" s="1"/>
      <c r="J18" s="8">
        <f t="shared" si="3"/>
        <v>42.049999999999727</v>
      </c>
    </row>
    <row r="19" spans="1:10" x14ac:dyDescent="0.3">
      <c r="A19" s="12">
        <v>16</v>
      </c>
      <c r="B19" s="1">
        <f t="shared" si="0"/>
        <v>160</v>
      </c>
      <c r="C19" s="1">
        <v>2626.6</v>
      </c>
      <c r="D19" s="1" t="str">
        <f t="shared" si="1"/>
        <v>40FT</v>
      </c>
      <c r="E19" s="1">
        <f t="shared" si="2"/>
        <v>3.25</v>
      </c>
      <c r="F19" s="1">
        <v>2626.6689999999999</v>
      </c>
      <c r="G19" s="1">
        <v>2626.6529999999998</v>
      </c>
      <c r="J19" s="8">
        <f t="shared" si="3"/>
        <v>45.299999999999727</v>
      </c>
    </row>
    <row r="20" spans="1:10" x14ac:dyDescent="0.3">
      <c r="A20" s="12">
        <v>17</v>
      </c>
      <c r="B20" s="1">
        <f t="shared" si="0"/>
        <v>170</v>
      </c>
      <c r="C20" s="1">
        <v>2629.85</v>
      </c>
      <c r="D20" s="1" t="str">
        <f t="shared" si="1"/>
        <v>20FT</v>
      </c>
      <c r="E20" s="1">
        <f t="shared" si="2"/>
        <v>3.25</v>
      </c>
      <c r="F20" s="1"/>
      <c r="G20" s="1"/>
      <c r="J20" s="8">
        <f t="shared" si="3"/>
        <v>48.549999999999727</v>
      </c>
    </row>
    <row r="21" spans="1:10" x14ac:dyDescent="0.3">
      <c r="A21" s="12">
        <v>18</v>
      </c>
      <c r="B21" s="1">
        <f t="shared" si="0"/>
        <v>180</v>
      </c>
      <c r="C21" s="1">
        <v>2633.1</v>
      </c>
      <c r="D21" s="1" t="str">
        <f t="shared" si="1"/>
        <v>40FT</v>
      </c>
      <c r="E21" s="1">
        <f t="shared" si="2"/>
        <v>3.25</v>
      </c>
      <c r="F21" s="1"/>
      <c r="G21" s="1"/>
      <c r="J21" s="8">
        <f t="shared" si="3"/>
        <v>51.799999999999727</v>
      </c>
    </row>
    <row r="22" spans="1:10" x14ac:dyDescent="0.3">
      <c r="A22" s="12">
        <v>19</v>
      </c>
      <c r="B22" s="1">
        <f t="shared" si="0"/>
        <v>190</v>
      </c>
      <c r="C22" s="1">
        <v>2636.35</v>
      </c>
      <c r="D22" s="1" t="str">
        <f t="shared" si="1"/>
        <v>20FT</v>
      </c>
      <c r="E22" s="1">
        <f t="shared" si="2"/>
        <v>3.25</v>
      </c>
      <c r="F22" s="1"/>
      <c r="G22" s="1"/>
      <c r="J22" s="8">
        <f t="shared" si="3"/>
        <v>55.049999999999727</v>
      </c>
    </row>
    <row r="23" spans="1:10" x14ac:dyDescent="0.3">
      <c r="A23" s="12">
        <v>20</v>
      </c>
      <c r="B23" s="1">
        <f t="shared" si="0"/>
        <v>200</v>
      </c>
      <c r="C23" s="1">
        <v>2639.6</v>
      </c>
      <c r="D23" s="1" t="str">
        <f t="shared" si="1"/>
        <v>40FT</v>
      </c>
      <c r="E23" s="1">
        <f t="shared" si="2"/>
        <v>3.25</v>
      </c>
      <c r="F23" s="1">
        <v>2639.674</v>
      </c>
      <c r="G23" s="1">
        <v>2639.6619999999998</v>
      </c>
      <c r="J23" s="8">
        <f t="shared" si="3"/>
        <v>58.299999999999727</v>
      </c>
    </row>
    <row r="24" spans="1:10" x14ac:dyDescent="0.3">
      <c r="A24" s="12">
        <v>21</v>
      </c>
      <c r="B24" s="1">
        <f t="shared" si="0"/>
        <v>210</v>
      </c>
      <c r="C24" s="1">
        <v>2642.85</v>
      </c>
      <c r="D24" s="1" t="str">
        <f t="shared" si="1"/>
        <v>20FT</v>
      </c>
      <c r="E24" s="1">
        <f t="shared" si="2"/>
        <v>3.25</v>
      </c>
      <c r="F24" s="1"/>
      <c r="G24" s="1"/>
      <c r="J24" s="8">
        <f t="shared" si="3"/>
        <v>61.549999999999727</v>
      </c>
    </row>
    <row r="25" spans="1:10" x14ac:dyDescent="0.3">
      <c r="A25" s="12">
        <v>22</v>
      </c>
      <c r="B25" s="1">
        <f t="shared" si="0"/>
        <v>220</v>
      </c>
      <c r="C25" s="1">
        <v>2646.1</v>
      </c>
      <c r="D25" s="1" t="str">
        <f t="shared" si="1"/>
        <v>40FT</v>
      </c>
      <c r="E25" s="1">
        <f t="shared" si="2"/>
        <v>3.25</v>
      </c>
      <c r="F25" s="1"/>
      <c r="G25" s="1"/>
      <c r="J25" s="8">
        <f t="shared" si="3"/>
        <v>64.799999999999727</v>
      </c>
    </row>
    <row r="26" spans="1:10" x14ac:dyDescent="0.3">
      <c r="A26" s="12">
        <v>23</v>
      </c>
      <c r="B26" s="1">
        <f t="shared" si="0"/>
        <v>230</v>
      </c>
      <c r="C26" s="1">
        <v>2649.35</v>
      </c>
      <c r="D26" s="1" t="str">
        <f t="shared" si="1"/>
        <v>20FT</v>
      </c>
      <c r="E26" s="1">
        <f t="shared" si="2"/>
        <v>3.25</v>
      </c>
      <c r="F26" s="1"/>
      <c r="G26" s="1"/>
      <c r="J26" s="8">
        <f t="shared" si="3"/>
        <v>68.049999999999727</v>
      </c>
    </row>
    <row r="27" spans="1:10" x14ac:dyDescent="0.3">
      <c r="A27" s="12">
        <v>24</v>
      </c>
      <c r="B27" s="1">
        <f t="shared" si="0"/>
        <v>240</v>
      </c>
      <c r="C27" s="1">
        <v>2652.6</v>
      </c>
      <c r="D27" s="1" t="str">
        <f t="shared" si="1"/>
        <v>40FT</v>
      </c>
      <c r="E27" s="1">
        <f t="shared" si="2"/>
        <v>3.25</v>
      </c>
      <c r="F27" s="1">
        <v>2652.672</v>
      </c>
      <c r="G27" s="1">
        <v>2652.6480000000001</v>
      </c>
      <c r="J27" s="8">
        <f t="shared" si="3"/>
        <v>71.299999999999727</v>
      </c>
    </row>
    <row r="28" spans="1:10" x14ac:dyDescent="0.3">
      <c r="A28" s="12">
        <v>25</v>
      </c>
      <c r="B28" s="1">
        <f t="shared" si="0"/>
        <v>250</v>
      </c>
      <c r="C28" s="1">
        <v>2655.85</v>
      </c>
      <c r="D28" s="1" t="str">
        <f t="shared" si="1"/>
        <v>20FT</v>
      </c>
      <c r="E28" s="1">
        <f t="shared" si="2"/>
        <v>3.25</v>
      </c>
      <c r="F28" s="1"/>
      <c r="G28" s="1"/>
      <c r="J28" s="8">
        <f t="shared" si="3"/>
        <v>74.549999999999727</v>
      </c>
    </row>
    <row r="29" spans="1:10" x14ac:dyDescent="0.3">
      <c r="A29" s="12">
        <v>26</v>
      </c>
      <c r="B29" s="1">
        <f t="shared" si="0"/>
        <v>260</v>
      </c>
      <c r="C29" s="1">
        <v>2659.1</v>
      </c>
      <c r="D29" s="1" t="str">
        <f t="shared" si="1"/>
        <v>40FT</v>
      </c>
      <c r="E29" s="1">
        <f t="shared" si="2"/>
        <v>3.25</v>
      </c>
      <c r="F29" s="1"/>
      <c r="G29" s="1"/>
      <c r="J29" s="8">
        <f t="shared" si="3"/>
        <v>77.799999999999727</v>
      </c>
    </row>
    <row r="30" spans="1:10" x14ac:dyDescent="0.3">
      <c r="A30" s="12">
        <v>27</v>
      </c>
      <c r="B30" s="1">
        <f t="shared" si="0"/>
        <v>270</v>
      </c>
      <c r="C30" s="1">
        <v>2662.35</v>
      </c>
      <c r="D30" s="1" t="str">
        <f t="shared" si="1"/>
        <v>20FT</v>
      </c>
      <c r="E30" s="1">
        <f t="shared" si="2"/>
        <v>3.25</v>
      </c>
      <c r="F30" s="1"/>
      <c r="G30" s="1"/>
      <c r="J30" s="8">
        <f t="shared" si="3"/>
        <v>81.049999999999727</v>
      </c>
    </row>
    <row r="31" spans="1:10" x14ac:dyDescent="0.3">
      <c r="A31" s="12">
        <v>28</v>
      </c>
      <c r="B31" s="1">
        <f t="shared" si="0"/>
        <v>280</v>
      </c>
      <c r="C31" s="1">
        <v>2665.6</v>
      </c>
      <c r="D31" s="1" t="str">
        <f t="shared" si="1"/>
        <v>40FT</v>
      </c>
      <c r="E31" s="1">
        <f t="shared" si="2"/>
        <v>3.25</v>
      </c>
      <c r="F31" s="1">
        <v>2665.6729999999998</v>
      </c>
      <c r="G31" s="1">
        <v>2665.652</v>
      </c>
      <c r="J31" s="8">
        <f t="shared" si="3"/>
        <v>84.299999999999727</v>
      </c>
    </row>
    <row r="32" spans="1:10" x14ac:dyDescent="0.3">
      <c r="A32" s="12">
        <v>29</v>
      </c>
      <c r="B32" s="1">
        <f t="shared" si="0"/>
        <v>290</v>
      </c>
      <c r="C32" s="1">
        <v>2668.85</v>
      </c>
      <c r="D32" s="1" t="str">
        <f t="shared" si="1"/>
        <v>20FT</v>
      </c>
      <c r="E32" s="1">
        <f t="shared" si="2"/>
        <v>3.25</v>
      </c>
      <c r="F32" s="1"/>
      <c r="G32" s="1"/>
      <c r="J32" s="8">
        <f t="shared" si="3"/>
        <v>87.549999999999727</v>
      </c>
    </row>
    <row r="33" spans="1:10" x14ac:dyDescent="0.3">
      <c r="A33" s="12">
        <v>30</v>
      </c>
      <c r="B33" s="1">
        <f t="shared" si="0"/>
        <v>300</v>
      </c>
      <c r="C33" s="1">
        <v>2672.1</v>
      </c>
      <c r="D33" s="1" t="str">
        <f t="shared" si="1"/>
        <v>40FT</v>
      </c>
      <c r="E33" s="1">
        <f t="shared" si="2"/>
        <v>3.25</v>
      </c>
      <c r="F33" s="1"/>
      <c r="G33" s="1"/>
      <c r="J33" s="8">
        <f t="shared" si="3"/>
        <v>90.799999999999727</v>
      </c>
    </row>
    <row r="34" spans="1:10" x14ac:dyDescent="0.3">
      <c r="A34" s="12">
        <v>31</v>
      </c>
      <c r="B34" s="1">
        <f t="shared" si="0"/>
        <v>310</v>
      </c>
      <c r="C34" s="1">
        <v>2675.35</v>
      </c>
      <c r="D34" s="1" t="str">
        <f t="shared" si="1"/>
        <v>20FT</v>
      </c>
      <c r="E34" s="1">
        <f t="shared" si="2"/>
        <v>3.25</v>
      </c>
      <c r="F34" s="1"/>
      <c r="G34" s="1"/>
      <c r="J34" s="8">
        <f t="shared" si="3"/>
        <v>94.049999999999727</v>
      </c>
    </row>
    <row r="35" spans="1:10" x14ac:dyDescent="0.3">
      <c r="A35" s="12">
        <v>32</v>
      </c>
      <c r="B35" s="1">
        <f t="shared" si="0"/>
        <v>320</v>
      </c>
      <c r="C35" s="1">
        <v>2678.6</v>
      </c>
      <c r="D35" s="1" t="str">
        <f t="shared" si="1"/>
        <v>40FT</v>
      </c>
      <c r="E35" s="1">
        <f t="shared" si="2"/>
        <v>3.25</v>
      </c>
      <c r="F35" s="1">
        <v>2678.6750000000002</v>
      </c>
      <c r="G35" s="1">
        <v>2678.663</v>
      </c>
      <c r="J35" s="8">
        <f t="shared" si="3"/>
        <v>97.299999999999727</v>
      </c>
    </row>
    <row r="36" spans="1:10" x14ac:dyDescent="0.3">
      <c r="A36" s="12">
        <v>33</v>
      </c>
      <c r="B36" s="1">
        <f t="shared" ref="B36:B67" si="4">A36*10</f>
        <v>330</v>
      </c>
      <c r="C36" s="1">
        <v>2681.85</v>
      </c>
      <c r="D36" s="1" t="str">
        <f t="shared" ref="D36:D67" si="5">IF(MOD(A36,2)=1,"20FT","40FT")</f>
        <v>20FT</v>
      </c>
      <c r="E36" s="1">
        <f t="shared" ref="E36:E67" si="6">C37-C36</f>
        <v>3.25</v>
      </c>
      <c r="F36" s="1"/>
      <c r="G36" s="1"/>
      <c r="J36" s="8">
        <f t="shared" si="3"/>
        <v>100.54999999999973</v>
      </c>
    </row>
    <row r="37" spans="1:10" x14ac:dyDescent="0.3">
      <c r="A37" s="12">
        <v>34</v>
      </c>
      <c r="B37" s="1">
        <f t="shared" si="4"/>
        <v>340</v>
      </c>
      <c r="C37" s="1">
        <v>2685.1</v>
      </c>
      <c r="D37" s="1" t="str">
        <f t="shared" si="5"/>
        <v>40FT</v>
      </c>
      <c r="E37" s="1">
        <f t="shared" si="6"/>
        <v>3.25</v>
      </c>
      <c r="F37" s="1"/>
      <c r="G37" s="1"/>
      <c r="J37" s="8">
        <f t="shared" si="3"/>
        <v>103.79999999999973</v>
      </c>
    </row>
    <row r="38" spans="1:10" x14ac:dyDescent="0.3">
      <c r="A38" s="12">
        <v>35</v>
      </c>
      <c r="B38" s="1">
        <f t="shared" si="4"/>
        <v>350</v>
      </c>
      <c r="C38" s="1">
        <v>2688.35</v>
      </c>
      <c r="D38" s="1" t="str">
        <f t="shared" si="5"/>
        <v>20FT</v>
      </c>
      <c r="E38" s="1">
        <f t="shared" si="6"/>
        <v>3.25</v>
      </c>
      <c r="F38" s="1"/>
      <c r="G38" s="1"/>
      <c r="J38" s="8">
        <f t="shared" si="3"/>
        <v>107.04999999999973</v>
      </c>
    </row>
    <row r="39" spans="1:10" x14ac:dyDescent="0.3">
      <c r="A39" s="12">
        <v>36</v>
      </c>
      <c r="B39" s="1">
        <f t="shared" si="4"/>
        <v>360</v>
      </c>
      <c r="C39" s="1">
        <v>2691.6</v>
      </c>
      <c r="D39" s="1" t="str">
        <f t="shared" si="5"/>
        <v>40FT</v>
      </c>
      <c r="E39" s="1">
        <f t="shared" si="6"/>
        <v>3.25</v>
      </c>
      <c r="F39" s="1">
        <v>2691.69</v>
      </c>
      <c r="G39" s="1">
        <v>2691.6570000000002</v>
      </c>
      <c r="J39" s="8">
        <f t="shared" si="3"/>
        <v>110.29999999999973</v>
      </c>
    </row>
    <row r="40" spans="1:10" x14ac:dyDescent="0.3">
      <c r="A40" s="12">
        <v>37</v>
      </c>
      <c r="B40" s="1">
        <f t="shared" si="4"/>
        <v>370</v>
      </c>
      <c r="C40" s="1">
        <v>2694.85</v>
      </c>
      <c r="D40" s="1" t="str">
        <f t="shared" si="5"/>
        <v>20FT</v>
      </c>
      <c r="E40" s="1">
        <f t="shared" si="6"/>
        <v>3.25</v>
      </c>
      <c r="F40" s="1"/>
      <c r="G40" s="1"/>
      <c r="J40" s="8">
        <f t="shared" si="3"/>
        <v>113.54999999999973</v>
      </c>
    </row>
    <row r="41" spans="1:10" x14ac:dyDescent="0.3">
      <c r="A41" s="12">
        <v>38</v>
      </c>
      <c r="B41" s="1">
        <f t="shared" si="4"/>
        <v>380</v>
      </c>
      <c r="C41" s="1">
        <v>2698.1</v>
      </c>
      <c r="D41" s="1" t="str">
        <f t="shared" si="5"/>
        <v>40FT</v>
      </c>
      <c r="E41" s="1">
        <f t="shared" si="6"/>
        <v>3.25</v>
      </c>
      <c r="F41" s="1"/>
      <c r="G41" s="1"/>
      <c r="J41" s="8">
        <f t="shared" si="3"/>
        <v>116.79999999999973</v>
      </c>
    </row>
    <row r="42" spans="1:10" x14ac:dyDescent="0.3">
      <c r="A42" s="12">
        <v>39</v>
      </c>
      <c r="B42" s="1">
        <f t="shared" si="4"/>
        <v>390</v>
      </c>
      <c r="C42" s="1">
        <v>2701.35</v>
      </c>
      <c r="D42" s="1" t="str">
        <f t="shared" si="5"/>
        <v>20FT</v>
      </c>
      <c r="E42" s="1">
        <f t="shared" si="6"/>
        <v>3.25</v>
      </c>
      <c r="F42" s="1"/>
      <c r="G42" s="1"/>
      <c r="J42" s="8">
        <f t="shared" si="3"/>
        <v>120.04999999999973</v>
      </c>
    </row>
    <row r="43" spans="1:10" x14ac:dyDescent="0.3">
      <c r="A43" s="12">
        <v>40</v>
      </c>
      <c r="B43" s="1">
        <f t="shared" si="4"/>
        <v>400</v>
      </c>
      <c r="C43" s="1">
        <v>2704.6</v>
      </c>
      <c r="D43" s="1" t="str">
        <f t="shared" si="5"/>
        <v>40FT</v>
      </c>
      <c r="E43" s="1">
        <f t="shared" si="6"/>
        <v>3.25</v>
      </c>
      <c r="F43" s="1">
        <v>2704.6750000000002</v>
      </c>
      <c r="G43" s="1">
        <v>2704.6550000000002</v>
      </c>
      <c r="J43" s="8">
        <f t="shared" si="3"/>
        <v>123.29999999999973</v>
      </c>
    </row>
    <row r="44" spans="1:10" x14ac:dyDescent="0.3">
      <c r="A44" s="12">
        <v>41</v>
      </c>
      <c r="B44" s="1">
        <f t="shared" si="4"/>
        <v>410</v>
      </c>
      <c r="C44" s="1">
        <v>2707.85</v>
      </c>
      <c r="D44" s="1" t="str">
        <f t="shared" si="5"/>
        <v>20FT</v>
      </c>
      <c r="E44" s="1">
        <f t="shared" si="6"/>
        <v>3.25</v>
      </c>
      <c r="F44" s="1"/>
      <c r="G44" s="1"/>
      <c r="J44" s="8">
        <f t="shared" si="3"/>
        <v>126.54999999999973</v>
      </c>
    </row>
    <row r="45" spans="1:10" x14ac:dyDescent="0.3">
      <c r="A45" s="12">
        <v>42</v>
      </c>
      <c r="B45" s="1">
        <f t="shared" si="4"/>
        <v>420</v>
      </c>
      <c r="C45" s="1">
        <v>2711.1</v>
      </c>
      <c r="D45" s="1" t="str">
        <f t="shared" si="5"/>
        <v>40FT</v>
      </c>
      <c r="E45" s="1">
        <f t="shared" si="6"/>
        <v>3.25</v>
      </c>
      <c r="F45" s="1"/>
      <c r="G45" s="1"/>
      <c r="J45" s="8">
        <f t="shared" si="3"/>
        <v>129.79999999999973</v>
      </c>
    </row>
    <row r="46" spans="1:10" x14ac:dyDescent="0.3">
      <c r="A46" s="12">
        <v>43</v>
      </c>
      <c r="B46" s="1">
        <f t="shared" si="4"/>
        <v>430</v>
      </c>
      <c r="C46" s="1">
        <v>2714.35</v>
      </c>
      <c r="D46" s="1" t="str">
        <f t="shared" si="5"/>
        <v>20FT</v>
      </c>
      <c r="E46" s="1">
        <f t="shared" si="6"/>
        <v>3.25</v>
      </c>
      <c r="F46" s="1"/>
      <c r="G46" s="1"/>
      <c r="J46" s="8">
        <f t="shared" si="3"/>
        <v>133.04999999999973</v>
      </c>
    </row>
    <row r="47" spans="1:10" x14ac:dyDescent="0.3">
      <c r="A47" s="12">
        <v>44</v>
      </c>
      <c r="B47" s="1">
        <f t="shared" si="4"/>
        <v>440</v>
      </c>
      <c r="C47" s="1">
        <v>2717.6</v>
      </c>
      <c r="D47" s="1" t="str">
        <f t="shared" si="5"/>
        <v>40FT</v>
      </c>
      <c r="E47" s="1">
        <f t="shared" si="6"/>
        <v>3.25</v>
      </c>
      <c r="F47" s="1">
        <v>2717.68</v>
      </c>
      <c r="G47" s="1">
        <v>2717.663</v>
      </c>
      <c r="J47" s="8">
        <f t="shared" si="3"/>
        <v>136.29999999999973</v>
      </c>
    </row>
    <row r="48" spans="1:10" x14ac:dyDescent="0.3">
      <c r="A48" s="12">
        <v>45</v>
      </c>
      <c r="B48" s="1">
        <f t="shared" si="4"/>
        <v>450</v>
      </c>
      <c r="C48" s="1">
        <v>2720.85</v>
      </c>
      <c r="D48" s="1" t="str">
        <f t="shared" si="5"/>
        <v>20FT</v>
      </c>
      <c r="E48" s="1">
        <f t="shared" si="6"/>
        <v>3.25</v>
      </c>
      <c r="F48" s="1"/>
      <c r="G48" s="1"/>
      <c r="J48" s="8">
        <f t="shared" si="3"/>
        <v>139.54999999999973</v>
      </c>
    </row>
    <row r="49" spans="1:10" x14ac:dyDescent="0.3">
      <c r="A49" s="12">
        <v>46</v>
      </c>
      <c r="B49" s="1">
        <f t="shared" si="4"/>
        <v>460</v>
      </c>
      <c r="C49" s="1">
        <v>2724.1</v>
      </c>
      <c r="D49" s="1" t="str">
        <f t="shared" si="5"/>
        <v>40FT</v>
      </c>
      <c r="E49" s="1">
        <f t="shared" si="6"/>
        <v>3.25</v>
      </c>
      <c r="F49" s="1"/>
      <c r="G49" s="1"/>
      <c r="J49" s="8">
        <f t="shared" si="3"/>
        <v>142.79999999999973</v>
      </c>
    </row>
    <row r="50" spans="1:10" x14ac:dyDescent="0.3">
      <c r="A50" s="12">
        <v>47</v>
      </c>
      <c r="B50" s="1">
        <f t="shared" si="4"/>
        <v>470</v>
      </c>
      <c r="C50" s="1">
        <v>2727.35</v>
      </c>
      <c r="D50" s="1" t="str">
        <f t="shared" si="5"/>
        <v>20FT</v>
      </c>
      <c r="E50" s="1">
        <f t="shared" si="6"/>
        <v>3.25</v>
      </c>
      <c r="F50" s="1"/>
      <c r="G50" s="1"/>
      <c r="J50" s="8">
        <f t="shared" si="3"/>
        <v>146.04999999999973</v>
      </c>
    </row>
    <row r="51" spans="1:10" x14ac:dyDescent="0.3">
      <c r="A51" s="12">
        <v>48</v>
      </c>
      <c r="B51" s="1">
        <f t="shared" si="4"/>
        <v>480</v>
      </c>
      <c r="C51" s="1">
        <v>2730.6</v>
      </c>
      <c r="D51" s="1" t="str">
        <f t="shared" si="5"/>
        <v>40FT</v>
      </c>
      <c r="E51" s="1">
        <f t="shared" si="6"/>
        <v>3.25</v>
      </c>
      <c r="F51" s="1">
        <v>2730.69</v>
      </c>
      <c r="G51" s="1">
        <v>2730.665</v>
      </c>
      <c r="J51" s="8">
        <f t="shared" si="3"/>
        <v>149.29999999999973</v>
      </c>
    </row>
    <row r="52" spans="1:10" x14ac:dyDescent="0.3">
      <c r="A52" s="12">
        <v>49</v>
      </c>
      <c r="B52" s="1">
        <f t="shared" si="4"/>
        <v>490</v>
      </c>
      <c r="C52" s="1">
        <v>2733.85</v>
      </c>
      <c r="D52" s="1" t="str">
        <f t="shared" si="5"/>
        <v>20FT</v>
      </c>
      <c r="E52" s="1">
        <f t="shared" si="6"/>
        <v>3.25</v>
      </c>
      <c r="F52" s="1"/>
      <c r="G52" s="1"/>
      <c r="J52" s="8">
        <f t="shared" si="3"/>
        <v>152.54999999999973</v>
      </c>
    </row>
    <row r="53" spans="1:10" x14ac:dyDescent="0.3">
      <c r="A53" s="12">
        <v>50</v>
      </c>
      <c r="B53" s="1">
        <f t="shared" si="4"/>
        <v>500</v>
      </c>
      <c r="C53" s="1">
        <v>2737.1</v>
      </c>
      <c r="D53" s="1" t="str">
        <f t="shared" si="5"/>
        <v>40FT</v>
      </c>
      <c r="E53" s="1">
        <f t="shared" si="6"/>
        <v>3.25</v>
      </c>
      <c r="F53" s="1"/>
      <c r="G53" s="1"/>
      <c r="J53" s="8">
        <f t="shared" si="3"/>
        <v>155.79999999999973</v>
      </c>
    </row>
    <row r="54" spans="1:10" x14ac:dyDescent="0.3">
      <c r="A54" s="12">
        <v>51</v>
      </c>
      <c r="B54" s="1">
        <f t="shared" si="4"/>
        <v>510</v>
      </c>
      <c r="C54" s="1">
        <v>2740.35</v>
      </c>
      <c r="D54" s="1" t="str">
        <f t="shared" si="5"/>
        <v>20FT</v>
      </c>
      <c r="E54" s="1">
        <f t="shared" si="6"/>
        <v>3.25</v>
      </c>
      <c r="F54" s="1"/>
      <c r="G54" s="1"/>
      <c r="J54" s="8">
        <f t="shared" si="3"/>
        <v>159.04999999999973</v>
      </c>
    </row>
    <row r="55" spans="1:10" x14ac:dyDescent="0.3">
      <c r="A55" s="12">
        <v>52</v>
      </c>
      <c r="B55" s="1">
        <f t="shared" si="4"/>
        <v>520</v>
      </c>
      <c r="C55" s="1">
        <v>2743.6</v>
      </c>
      <c r="D55" s="1" t="str">
        <f t="shared" si="5"/>
        <v>40FT</v>
      </c>
      <c r="E55" s="1">
        <f t="shared" si="6"/>
        <v>3.25</v>
      </c>
      <c r="F55" s="1">
        <v>2743.672</v>
      </c>
      <c r="G55" s="1">
        <v>2743.654</v>
      </c>
      <c r="J55" s="8">
        <f t="shared" si="3"/>
        <v>162.29999999999973</v>
      </c>
    </row>
    <row r="56" spans="1:10" x14ac:dyDescent="0.3">
      <c r="A56" s="12">
        <v>53</v>
      </c>
      <c r="B56" s="1">
        <f t="shared" si="4"/>
        <v>530</v>
      </c>
      <c r="C56" s="1">
        <v>2746.85</v>
      </c>
      <c r="D56" s="1" t="str">
        <f t="shared" si="5"/>
        <v>20FT</v>
      </c>
      <c r="E56" s="1">
        <f t="shared" si="6"/>
        <v>3.25</v>
      </c>
      <c r="F56" s="1"/>
      <c r="G56" s="1"/>
      <c r="J56" s="8">
        <f t="shared" si="3"/>
        <v>165.54999999999973</v>
      </c>
    </row>
    <row r="57" spans="1:10" x14ac:dyDescent="0.3">
      <c r="A57" s="12">
        <v>54</v>
      </c>
      <c r="B57" s="1">
        <f t="shared" si="4"/>
        <v>540</v>
      </c>
      <c r="C57" s="1">
        <v>2750.1</v>
      </c>
      <c r="D57" s="1" t="str">
        <f t="shared" si="5"/>
        <v>40FT</v>
      </c>
      <c r="E57" s="1">
        <f t="shared" si="6"/>
        <v>3.25</v>
      </c>
      <c r="F57" s="1"/>
      <c r="G57" s="1"/>
      <c r="J57" s="8">
        <f t="shared" si="3"/>
        <v>168.79999999999973</v>
      </c>
    </row>
    <row r="58" spans="1:10" x14ac:dyDescent="0.3">
      <c r="A58" s="12">
        <v>55</v>
      </c>
      <c r="B58" s="1">
        <f t="shared" si="4"/>
        <v>550</v>
      </c>
      <c r="C58" s="1">
        <v>2753.35</v>
      </c>
      <c r="D58" s="1" t="str">
        <f t="shared" si="5"/>
        <v>20FT</v>
      </c>
      <c r="E58" s="1">
        <f t="shared" si="6"/>
        <v>3.25</v>
      </c>
      <c r="F58" s="1"/>
      <c r="G58" s="1"/>
      <c r="J58" s="8">
        <f t="shared" si="3"/>
        <v>172.04999999999973</v>
      </c>
    </row>
    <row r="59" spans="1:10" x14ac:dyDescent="0.3">
      <c r="A59" s="12">
        <v>56</v>
      </c>
      <c r="B59" s="1">
        <f t="shared" si="4"/>
        <v>560</v>
      </c>
      <c r="C59" s="1">
        <v>2756.6</v>
      </c>
      <c r="D59" s="1" t="str">
        <f t="shared" si="5"/>
        <v>40FT</v>
      </c>
      <c r="E59" s="1">
        <f t="shared" si="6"/>
        <v>3.25</v>
      </c>
      <c r="F59" s="1">
        <v>2756.6819999999998</v>
      </c>
      <c r="G59" s="1">
        <v>2756.66</v>
      </c>
      <c r="J59" s="8">
        <f t="shared" si="3"/>
        <v>175.29999999999973</v>
      </c>
    </row>
    <row r="60" spans="1:10" x14ac:dyDescent="0.3">
      <c r="A60" s="12">
        <v>57</v>
      </c>
      <c r="B60" s="1">
        <f t="shared" si="4"/>
        <v>570</v>
      </c>
      <c r="C60" s="1">
        <v>2759.85</v>
      </c>
      <c r="D60" s="1" t="str">
        <f t="shared" si="5"/>
        <v>20FT</v>
      </c>
      <c r="E60" s="1">
        <f t="shared" si="6"/>
        <v>3.25</v>
      </c>
      <c r="F60" s="1"/>
      <c r="G60" s="1"/>
      <c r="J60" s="8">
        <f t="shared" si="3"/>
        <v>178.54999999999973</v>
      </c>
    </row>
    <row r="61" spans="1:10" x14ac:dyDescent="0.3">
      <c r="A61" s="12">
        <v>58</v>
      </c>
      <c r="B61" s="1">
        <f t="shared" si="4"/>
        <v>580</v>
      </c>
      <c r="C61" s="1">
        <v>2763.1</v>
      </c>
      <c r="D61" s="1" t="str">
        <f t="shared" si="5"/>
        <v>40FT</v>
      </c>
      <c r="E61" s="1">
        <f t="shared" si="6"/>
        <v>3.25</v>
      </c>
      <c r="F61" s="1"/>
      <c r="G61" s="1"/>
      <c r="J61" s="8">
        <f t="shared" si="3"/>
        <v>181.79999999999973</v>
      </c>
    </row>
    <row r="62" spans="1:10" x14ac:dyDescent="0.3">
      <c r="A62" s="12">
        <v>59</v>
      </c>
      <c r="B62" s="1">
        <f t="shared" si="4"/>
        <v>590</v>
      </c>
      <c r="C62" s="1">
        <v>2766.35</v>
      </c>
      <c r="D62" s="1" t="str">
        <f t="shared" si="5"/>
        <v>20FT</v>
      </c>
      <c r="E62" s="1">
        <f t="shared" si="6"/>
        <v>3.25</v>
      </c>
      <c r="F62" s="1"/>
      <c r="G62" s="1"/>
      <c r="J62" s="8">
        <f t="shared" si="3"/>
        <v>185.04999999999973</v>
      </c>
    </row>
    <row r="63" spans="1:10" x14ac:dyDescent="0.3">
      <c r="A63" s="12">
        <v>60</v>
      </c>
      <c r="B63" s="1">
        <f t="shared" si="4"/>
        <v>600</v>
      </c>
      <c r="C63" s="1">
        <v>2769.6</v>
      </c>
      <c r="D63" s="1" t="str">
        <f t="shared" si="5"/>
        <v>40FT</v>
      </c>
      <c r="E63" s="1">
        <f t="shared" si="6"/>
        <v>3.25</v>
      </c>
      <c r="F63" s="1">
        <v>2769.6909999999998</v>
      </c>
      <c r="G63" s="1">
        <v>2769.663</v>
      </c>
      <c r="J63" s="8">
        <f t="shared" si="3"/>
        <v>188.29999999999973</v>
      </c>
    </row>
    <row r="64" spans="1:10" x14ac:dyDescent="0.3">
      <c r="A64" s="12">
        <v>61</v>
      </c>
      <c r="B64" s="1">
        <f t="shared" si="4"/>
        <v>610</v>
      </c>
      <c r="C64" s="1">
        <v>2772.85</v>
      </c>
      <c r="D64" s="1" t="str">
        <f t="shared" si="5"/>
        <v>20FT</v>
      </c>
      <c r="E64" s="1">
        <f t="shared" si="6"/>
        <v>3.25</v>
      </c>
      <c r="F64" s="1"/>
      <c r="G64" s="1"/>
      <c r="J64" s="8">
        <f t="shared" si="3"/>
        <v>191.54999999999973</v>
      </c>
    </row>
    <row r="65" spans="1:17" x14ac:dyDescent="0.3">
      <c r="A65" s="12">
        <v>62</v>
      </c>
      <c r="B65" s="1">
        <f t="shared" si="4"/>
        <v>620</v>
      </c>
      <c r="C65" s="1">
        <v>2776.1</v>
      </c>
      <c r="D65" s="1" t="str">
        <f t="shared" si="5"/>
        <v>40FT</v>
      </c>
      <c r="E65" s="1">
        <f t="shared" si="6"/>
        <v>3.25</v>
      </c>
      <c r="F65" s="1"/>
      <c r="G65" s="1"/>
      <c r="J65" s="8">
        <f t="shared" si="3"/>
        <v>194.79999999999973</v>
      </c>
    </row>
    <row r="66" spans="1:17" x14ac:dyDescent="0.3">
      <c r="A66" s="12">
        <v>63</v>
      </c>
      <c r="B66" s="1">
        <f t="shared" si="4"/>
        <v>630</v>
      </c>
      <c r="C66" s="1">
        <v>2779.35</v>
      </c>
      <c r="D66" s="1" t="str">
        <f t="shared" si="5"/>
        <v>20FT</v>
      </c>
      <c r="E66" s="1">
        <f t="shared" si="6"/>
        <v>3.25</v>
      </c>
      <c r="F66" s="1"/>
      <c r="G66" s="1"/>
      <c r="J66" s="8">
        <f t="shared" si="3"/>
        <v>198.04999999999973</v>
      </c>
    </row>
    <row r="67" spans="1:17" x14ac:dyDescent="0.3">
      <c r="A67" s="12">
        <v>64</v>
      </c>
      <c r="B67" s="1">
        <f t="shared" si="4"/>
        <v>640</v>
      </c>
      <c r="C67" s="1">
        <v>2782.6</v>
      </c>
      <c r="D67" s="1" t="str">
        <f t="shared" si="5"/>
        <v>40FT</v>
      </c>
      <c r="E67" s="1">
        <f t="shared" si="6"/>
        <v>3.25</v>
      </c>
      <c r="F67" s="1">
        <v>2782.6849999999999</v>
      </c>
      <c r="G67" s="1">
        <v>2782.6480000000001</v>
      </c>
      <c r="J67" s="8">
        <f t="shared" si="3"/>
        <v>201.29999999999973</v>
      </c>
    </row>
    <row r="68" spans="1:17" x14ac:dyDescent="0.3">
      <c r="A68" s="12">
        <v>65</v>
      </c>
      <c r="B68" s="1">
        <f t="shared" ref="B68:B97" si="7">A68*10</f>
        <v>650</v>
      </c>
      <c r="C68" s="1">
        <v>2785.85</v>
      </c>
      <c r="D68" s="1" t="str">
        <f t="shared" ref="D68:D97" si="8">IF(MOD(A68,2)=1,"20FT","40FT")</f>
        <v>20FT</v>
      </c>
      <c r="E68" s="1">
        <f t="shared" ref="E68:E96" si="9">C69-C68</f>
        <v>3.25</v>
      </c>
      <c r="F68" s="1"/>
      <c r="G68" s="1"/>
      <c r="J68" s="8">
        <f t="shared" si="3"/>
        <v>204.54999999999973</v>
      </c>
    </row>
    <row r="69" spans="1:17" x14ac:dyDescent="0.3">
      <c r="A69" s="12">
        <v>66</v>
      </c>
      <c r="B69" s="1">
        <f t="shared" si="7"/>
        <v>660</v>
      </c>
      <c r="C69" s="1">
        <v>2789.1</v>
      </c>
      <c r="D69" s="1" t="str">
        <f t="shared" si="8"/>
        <v>40FT</v>
      </c>
      <c r="E69" s="1">
        <f t="shared" si="9"/>
        <v>3.25</v>
      </c>
      <c r="F69" s="1"/>
      <c r="G69" s="1"/>
      <c r="J69" s="8">
        <f t="shared" si="3"/>
        <v>207.79999999999973</v>
      </c>
    </row>
    <row r="70" spans="1:17" x14ac:dyDescent="0.3">
      <c r="A70" s="12">
        <v>67</v>
      </c>
      <c r="B70" s="1">
        <f t="shared" si="7"/>
        <v>670</v>
      </c>
      <c r="C70" s="1">
        <v>2792.35</v>
      </c>
      <c r="D70" s="1" t="str">
        <f t="shared" si="8"/>
        <v>20FT</v>
      </c>
      <c r="E70" s="1">
        <f t="shared" si="9"/>
        <v>3.25</v>
      </c>
      <c r="F70" s="1"/>
      <c r="G70" s="1"/>
      <c r="J70" s="8">
        <f t="shared" ref="J70:J97" si="10">C70+$I$2</f>
        <v>211.04999999999973</v>
      </c>
    </row>
    <row r="71" spans="1:17" x14ac:dyDescent="0.3">
      <c r="A71" s="12">
        <v>68</v>
      </c>
      <c r="B71" s="1">
        <f t="shared" si="7"/>
        <v>680</v>
      </c>
      <c r="C71" s="1">
        <v>2795.6</v>
      </c>
      <c r="D71" s="1" t="str">
        <f t="shared" si="8"/>
        <v>40FT</v>
      </c>
      <c r="E71" s="1">
        <f t="shared" si="9"/>
        <v>3.25</v>
      </c>
      <c r="F71" s="1">
        <v>2795.6860000000001</v>
      </c>
      <c r="G71" s="1">
        <v>2795.68</v>
      </c>
      <c r="J71" s="8">
        <f t="shared" si="10"/>
        <v>214.29999999999973</v>
      </c>
    </row>
    <row r="72" spans="1:17" x14ac:dyDescent="0.3">
      <c r="A72" s="12">
        <v>69</v>
      </c>
      <c r="B72" s="1">
        <f t="shared" si="7"/>
        <v>690</v>
      </c>
      <c r="C72" s="1">
        <v>2798.85</v>
      </c>
      <c r="D72" s="1" t="str">
        <f t="shared" si="8"/>
        <v>20FT</v>
      </c>
      <c r="E72" s="1">
        <f t="shared" si="9"/>
        <v>3.25</v>
      </c>
      <c r="F72" s="1"/>
      <c r="G72" s="1"/>
      <c r="J72" s="8">
        <f t="shared" si="10"/>
        <v>217.54999999999973</v>
      </c>
    </row>
    <row r="73" spans="1:17" x14ac:dyDescent="0.3">
      <c r="A73" s="12">
        <v>70</v>
      </c>
      <c r="B73" s="1">
        <f t="shared" si="7"/>
        <v>700</v>
      </c>
      <c r="C73" s="1">
        <v>2802.1</v>
      </c>
      <c r="D73" s="1" t="str">
        <f t="shared" si="8"/>
        <v>40FT</v>
      </c>
      <c r="E73" s="1">
        <f t="shared" si="9"/>
        <v>3.25</v>
      </c>
      <c r="F73" s="1"/>
      <c r="G73" s="1"/>
      <c r="J73" s="8">
        <f t="shared" si="10"/>
        <v>220.79999999999973</v>
      </c>
    </row>
    <row r="74" spans="1:17" x14ac:dyDescent="0.3">
      <c r="A74" s="12">
        <v>71</v>
      </c>
      <c r="B74" s="1">
        <f t="shared" si="7"/>
        <v>710</v>
      </c>
      <c r="C74" s="1">
        <v>2805.35</v>
      </c>
      <c r="D74" s="1" t="str">
        <f t="shared" si="8"/>
        <v>20FT</v>
      </c>
      <c r="E74" s="1">
        <f t="shared" si="9"/>
        <v>3.25</v>
      </c>
      <c r="F74" s="1"/>
      <c r="G74" s="1"/>
      <c r="J74" s="8">
        <f t="shared" si="10"/>
        <v>224.04999999999973</v>
      </c>
    </row>
    <row r="75" spans="1:17" x14ac:dyDescent="0.3">
      <c r="A75" s="12">
        <v>72</v>
      </c>
      <c r="B75" s="1">
        <f t="shared" si="7"/>
        <v>720</v>
      </c>
      <c r="C75" s="1">
        <v>2808.6</v>
      </c>
      <c r="D75" s="1" t="str">
        <f t="shared" si="8"/>
        <v>40FT</v>
      </c>
      <c r="E75" s="1">
        <f t="shared" si="9"/>
        <v>3.25</v>
      </c>
      <c r="F75" s="1">
        <v>2808.7020000000002</v>
      </c>
      <c r="G75" s="1">
        <v>2808.6640000000002</v>
      </c>
      <c r="J75" s="8">
        <f t="shared" si="10"/>
        <v>227.29999999999973</v>
      </c>
      <c r="Q75" s="1">
        <v>2581.3000000000002</v>
      </c>
    </row>
    <row r="76" spans="1:17" x14ac:dyDescent="0.3">
      <c r="A76" s="12">
        <v>73</v>
      </c>
      <c r="B76" s="1">
        <f t="shared" si="7"/>
        <v>730</v>
      </c>
      <c r="C76" s="1">
        <v>2811.85</v>
      </c>
      <c r="D76" s="1" t="str">
        <f t="shared" si="8"/>
        <v>20FT</v>
      </c>
      <c r="E76" s="1">
        <f t="shared" si="9"/>
        <v>3.25</v>
      </c>
      <c r="F76" s="1"/>
      <c r="G76" s="1"/>
      <c r="J76" s="8">
        <f t="shared" si="10"/>
        <v>230.54999999999973</v>
      </c>
      <c r="Q76" s="1">
        <v>2594.1</v>
      </c>
    </row>
    <row r="77" spans="1:17" x14ac:dyDescent="0.3">
      <c r="A77" s="12">
        <v>74</v>
      </c>
      <c r="B77" s="1">
        <f t="shared" si="7"/>
        <v>740</v>
      </c>
      <c r="C77" s="1">
        <v>2815.1</v>
      </c>
      <c r="D77" s="1" t="str">
        <f t="shared" si="8"/>
        <v>40FT</v>
      </c>
      <c r="E77" s="1">
        <f t="shared" si="9"/>
        <v>3.25</v>
      </c>
      <c r="F77" s="1"/>
      <c r="G77" s="1"/>
      <c r="J77" s="8">
        <f t="shared" si="10"/>
        <v>233.79999999999973</v>
      </c>
      <c r="Q77" s="1">
        <v>2607.1</v>
      </c>
    </row>
    <row r="78" spans="1:17" x14ac:dyDescent="0.3">
      <c r="A78" s="12">
        <v>75</v>
      </c>
      <c r="B78" s="1">
        <f t="shared" si="7"/>
        <v>750</v>
      </c>
      <c r="C78" s="1">
        <v>2818.35</v>
      </c>
      <c r="D78" s="1" t="str">
        <f t="shared" si="8"/>
        <v>20FT</v>
      </c>
      <c r="E78" s="1">
        <f t="shared" si="9"/>
        <v>3.25</v>
      </c>
      <c r="F78" s="1"/>
      <c r="G78" s="1"/>
      <c r="J78" s="8">
        <f t="shared" si="10"/>
        <v>237.04999999999973</v>
      </c>
      <c r="Q78" s="1">
        <v>2620.1</v>
      </c>
    </row>
    <row r="79" spans="1:17" x14ac:dyDescent="0.3">
      <c r="A79" s="12">
        <v>76</v>
      </c>
      <c r="B79" s="1">
        <f t="shared" si="7"/>
        <v>760</v>
      </c>
      <c r="C79" s="1">
        <v>2821.6</v>
      </c>
      <c r="D79" s="1" t="str">
        <f t="shared" si="8"/>
        <v>40FT</v>
      </c>
      <c r="E79" s="1">
        <f t="shared" si="9"/>
        <v>3.25</v>
      </c>
      <c r="F79" s="1">
        <v>2821.681</v>
      </c>
      <c r="G79" s="1">
        <v>2821.665</v>
      </c>
      <c r="J79" s="8">
        <f t="shared" si="10"/>
        <v>240.29999999999973</v>
      </c>
      <c r="Q79" s="1">
        <v>2633.1</v>
      </c>
    </row>
    <row r="80" spans="1:17" x14ac:dyDescent="0.3">
      <c r="A80" s="12">
        <v>77</v>
      </c>
      <c r="B80" s="1">
        <f t="shared" si="7"/>
        <v>770</v>
      </c>
      <c r="C80" s="1">
        <v>2824.85</v>
      </c>
      <c r="D80" s="1" t="str">
        <f t="shared" si="8"/>
        <v>20FT</v>
      </c>
      <c r="E80" s="1">
        <f t="shared" si="9"/>
        <v>3.25</v>
      </c>
      <c r="F80" s="1"/>
      <c r="G80" s="1"/>
      <c r="J80" s="8">
        <f t="shared" si="10"/>
        <v>243.54999999999973</v>
      </c>
      <c r="Q80" s="1">
        <v>2646.1</v>
      </c>
    </row>
    <row r="81" spans="1:17" x14ac:dyDescent="0.3">
      <c r="A81" s="12">
        <v>78</v>
      </c>
      <c r="B81" s="1">
        <f t="shared" si="7"/>
        <v>780</v>
      </c>
      <c r="C81" s="1">
        <v>2828.1</v>
      </c>
      <c r="D81" s="1" t="str">
        <f t="shared" si="8"/>
        <v>40FT</v>
      </c>
      <c r="E81" s="1">
        <f t="shared" si="9"/>
        <v>3.25</v>
      </c>
      <c r="F81" s="1"/>
      <c r="G81" s="1"/>
      <c r="J81" s="8">
        <f t="shared" si="10"/>
        <v>246.79999999999973</v>
      </c>
      <c r="Q81" s="1">
        <v>2659.1</v>
      </c>
    </row>
    <row r="82" spans="1:17" x14ac:dyDescent="0.3">
      <c r="A82" s="12">
        <v>79</v>
      </c>
      <c r="B82" s="1">
        <f t="shared" si="7"/>
        <v>790</v>
      </c>
      <c r="C82" s="1">
        <v>2831.35</v>
      </c>
      <c r="D82" s="1" t="str">
        <f t="shared" si="8"/>
        <v>20FT</v>
      </c>
      <c r="E82" s="1">
        <f t="shared" si="9"/>
        <v>3.25</v>
      </c>
      <c r="F82" s="1"/>
      <c r="G82" s="1"/>
      <c r="J82" s="8">
        <f t="shared" si="10"/>
        <v>250.04999999999973</v>
      </c>
      <c r="Q82" s="1">
        <v>2672.1</v>
      </c>
    </row>
    <row r="83" spans="1:17" x14ac:dyDescent="0.3">
      <c r="A83" s="12">
        <v>80</v>
      </c>
      <c r="B83" s="1">
        <f t="shared" si="7"/>
        <v>800</v>
      </c>
      <c r="C83" s="1">
        <v>2834.6</v>
      </c>
      <c r="D83" s="1" t="str">
        <f t="shared" si="8"/>
        <v>40FT</v>
      </c>
      <c r="E83" s="1">
        <f t="shared" si="9"/>
        <v>3.25</v>
      </c>
      <c r="F83" s="1">
        <v>2834.68</v>
      </c>
      <c r="G83" s="1">
        <v>2834.654</v>
      </c>
      <c r="J83" s="8">
        <f t="shared" si="10"/>
        <v>253.29999999999973</v>
      </c>
      <c r="Q83" s="1">
        <v>2685.1</v>
      </c>
    </row>
    <row r="84" spans="1:17" x14ac:dyDescent="0.3">
      <c r="A84" s="12">
        <v>81</v>
      </c>
      <c r="B84" s="1">
        <f t="shared" si="7"/>
        <v>810</v>
      </c>
      <c r="C84" s="1">
        <v>2837.85</v>
      </c>
      <c r="D84" s="1" t="str">
        <f t="shared" si="8"/>
        <v>20FT</v>
      </c>
      <c r="E84" s="1">
        <f t="shared" si="9"/>
        <v>3.25</v>
      </c>
      <c r="F84" s="1"/>
      <c r="G84" s="1"/>
      <c r="J84" s="8">
        <f t="shared" si="10"/>
        <v>256.54999999999973</v>
      </c>
      <c r="Q84" s="1">
        <v>2698.1</v>
      </c>
    </row>
    <row r="85" spans="1:17" x14ac:dyDescent="0.3">
      <c r="A85" s="12">
        <v>82</v>
      </c>
      <c r="B85" s="1">
        <f t="shared" si="7"/>
        <v>820</v>
      </c>
      <c r="C85" s="1">
        <v>2841.1</v>
      </c>
      <c r="D85" s="1" t="str">
        <f t="shared" si="8"/>
        <v>40FT</v>
      </c>
      <c r="E85" s="1">
        <f t="shared" si="9"/>
        <v>3.25</v>
      </c>
      <c r="F85" s="1"/>
      <c r="G85" s="1"/>
      <c r="J85" s="8">
        <f t="shared" si="10"/>
        <v>259.79999999999973</v>
      </c>
      <c r="Q85" s="1">
        <v>2711.1</v>
      </c>
    </row>
    <row r="86" spans="1:17" x14ac:dyDescent="0.3">
      <c r="A86" s="12">
        <v>83</v>
      </c>
      <c r="B86" s="1">
        <f t="shared" si="7"/>
        <v>830</v>
      </c>
      <c r="C86" s="1">
        <v>2844.35</v>
      </c>
      <c r="D86" s="1" t="str">
        <f t="shared" si="8"/>
        <v>20FT</v>
      </c>
      <c r="E86" s="1">
        <f t="shared" si="9"/>
        <v>3.25</v>
      </c>
      <c r="F86" s="1"/>
      <c r="G86" s="1"/>
      <c r="J86" s="8">
        <f t="shared" si="10"/>
        <v>263.04999999999973</v>
      </c>
      <c r="Q86" s="1">
        <v>2724.1</v>
      </c>
    </row>
    <row r="87" spans="1:17" x14ac:dyDescent="0.3">
      <c r="A87" s="12">
        <v>84</v>
      </c>
      <c r="B87" s="1">
        <f t="shared" si="7"/>
        <v>840</v>
      </c>
      <c r="C87" s="1">
        <v>2847.6</v>
      </c>
      <c r="D87" s="1" t="str">
        <f t="shared" si="8"/>
        <v>40FT</v>
      </c>
      <c r="E87" s="1">
        <f t="shared" si="9"/>
        <v>3.25</v>
      </c>
      <c r="F87" s="1">
        <v>2847.6750000000002</v>
      </c>
      <c r="G87" s="1">
        <v>2847.663</v>
      </c>
      <c r="J87" s="8">
        <f t="shared" si="10"/>
        <v>266.29999999999973</v>
      </c>
      <c r="Q87" s="1">
        <v>2737.1</v>
      </c>
    </row>
    <row r="88" spans="1:17" x14ac:dyDescent="0.3">
      <c r="A88" s="12">
        <v>85</v>
      </c>
      <c r="B88" s="1">
        <f t="shared" si="7"/>
        <v>850</v>
      </c>
      <c r="C88" s="1">
        <v>2850.85</v>
      </c>
      <c r="D88" s="1" t="str">
        <f t="shared" si="8"/>
        <v>20FT</v>
      </c>
      <c r="E88" s="1">
        <f t="shared" si="9"/>
        <v>3.25</v>
      </c>
      <c r="F88" s="1"/>
      <c r="G88" s="1"/>
      <c r="J88" s="8">
        <f t="shared" si="10"/>
        <v>269.54999999999973</v>
      </c>
      <c r="Q88" s="1">
        <v>2750.1</v>
      </c>
    </row>
    <row r="89" spans="1:17" x14ac:dyDescent="0.3">
      <c r="A89" s="12">
        <v>86</v>
      </c>
      <c r="B89" s="1">
        <f t="shared" si="7"/>
        <v>860</v>
      </c>
      <c r="C89" s="1">
        <v>2854.1</v>
      </c>
      <c r="D89" s="1" t="str">
        <f t="shared" si="8"/>
        <v>40FT</v>
      </c>
      <c r="E89" s="1">
        <f t="shared" si="9"/>
        <v>3.25</v>
      </c>
      <c r="F89" s="1">
        <v>2854.2089999999998</v>
      </c>
      <c r="G89" s="1">
        <v>2854.1709999999998</v>
      </c>
      <c r="J89" s="8">
        <f t="shared" si="10"/>
        <v>272.79999999999973</v>
      </c>
      <c r="Q89" s="1">
        <v>2763.1</v>
      </c>
    </row>
    <row r="90" spans="1:17" x14ac:dyDescent="0.3">
      <c r="A90" s="12">
        <v>87</v>
      </c>
      <c r="B90" s="1">
        <f t="shared" si="7"/>
        <v>870</v>
      </c>
      <c r="C90" s="1">
        <v>2857.35</v>
      </c>
      <c r="D90" s="1" t="str">
        <f t="shared" si="8"/>
        <v>20FT</v>
      </c>
      <c r="E90" s="1">
        <f t="shared" si="9"/>
        <v>3.25</v>
      </c>
      <c r="F90" s="1"/>
      <c r="G90" s="1"/>
      <c r="J90" s="8">
        <f t="shared" si="10"/>
        <v>276.04999999999973</v>
      </c>
      <c r="Q90" s="1">
        <v>2776.1</v>
      </c>
    </row>
    <row r="91" spans="1:17" x14ac:dyDescent="0.3">
      <c r="A91" s="12">
        <v>88</v>
      </c>
      <c r="B91" s="1">
        <f t="shared" si="7"/>
        <v>880</v>
      </c>
      <c r="C91" s="1">
        <v>2860.6</v>
      </c>
      <c r="D91" s="1" t="str">
        <f t="shared" si="8"/>
        <v>40FT</v>
      </c>
      <c r="E91" s="1">
        <f t="shared" si="9"/>
        <v>3.25</v>
      </c>
      <c r="F91" s="1"/>
      <c r="G91" s="1"/>
      <c r="J91" s="8">
        <f t="shared" si="10"/>
        <v>279.29999999999973</v>
      </c>
      <c r="Q91" s="1">
        <v>2789.1</v>
      </c>
    </row>
    <row r="92" spans="1:17" x14ac:dyDescent="0.3">
      <c r="A92" s="12">
        <v>89</v>
      </c>
      <c r="B92" s="1">
        <f t="shared" si="7"/>
        <v>890</v>
      </c>
      <c r="C92" s="1">
        <v>2863.85</v>
      </c>
      <c r="D92" s="1" t="str">
        <f t="shared" si="8"/>
        <v>20FT</v>
      </c>
      <c r="E92" s="1">
        <f t="shared" si="9"/>
        <v>3.25</v>
      </c>
      <c r="F92" s="1"/>
      <c r="G92" s="1"/>
      <c r="J92" s="8">
        <f t="shared" si="10"/>
        <v>282.54999999999973</v>
      </c>
      <c r="Q92" s="1">
        <v>2802.1</v>
      </c>
    </row>
    <row r="93" spans="1:17" x14ac:dyDescent="0.3">
      <c r="A93" s="12">
        <v>90</v>
      </c>
      <c r="B93" s="1">
        <f t="shared" si="7"/>
        <v>900</v>
      </c>
      <c r="C93" s="1">
        <v>2867.1</v>
      </c>
      <c r="D93" s="1" t="str">
        <f t="shared" si="8"/>
        <v>40FT</v>
      </c>
      <c r="E93" s="1">
        <f t="shared" si="9"/>
        <v>3.25</v>
      </c>
      <c r="F93" s="1">
        <v>2867.18</v>
      </c>
      <c r="G93" s="1">
        <v>2867.1689999999999</v>
      </c>
      <c r="J93" s="8">
        <f t="shared" si="10"/>
        <v>285.79999999999973</v>
      </c>
      <c r="Q93" s="1">
        <v>2815.1</v>
      </c>
    </row>
    <row r="94" spans="1:17" x14ac:dyDescent="0.3">
      <c r="A94" s="12">
        <v>91</v>
      </c>
      <c r="B94" s="1">
        <f t="shared" si="7"/>
        <v>910</v>
      </c>
      <c r="C94" s="1">
        <v>2870.35</v>
      </c>
      <c r="D94" s="1" t="str">
        <f t="shared" si="8"/>
        <v>20FT</v>
      </c>
      <c r="E94" s="1">
        <f t="shared" si="9"/>
        <v>3.25</v>
      </c>
      <c r="F94" s="1"/>
      <c r="G94" s="1"/>
      <c r="J94" s="8">
        <f t="shared" si="10"/>
        <v>289.04999999999973</v>
      </c>
      <c r="Q94" s="1">
        <v>2828.1</v>
      </c>
    </row>
    <row r="95" spans="1:17" x14ac:dyDescent="0.3">
      <c r="A95" s="12">
        <v>92</v>
      </c>
      <c r="B95" s="1">
        <f t="shared" si="7"/>
        <v>920</v>
      </c>
      <c r="C95" s="1">
        <f>C96-3.25</f>
        <v>2873.6</v>
      </c>
      <c r="D95" s="1" t="str">
        <f t="shared" si="8"/>
        <v>40FT</v>
      </c>
      <c r="E95" s="1">
        <f t="shared" si="9"/>
        <v>3.25</v>
      </c>
      <c r="F95" s="1"/>
      <c r="G95" s="1"/>
      <c r="J95" s="8">
        <f t="shared" si="10"/>
        <v>292.29999999999973</v>
      </c>
      <c r="Q95" s="1">
        <v>2841.1</v>
      </c>
    </row>
    <row r="96" spans="1:17" x14ac:dyDescent="0.3">
      <c r="A96" s="12">
        <v>93</v>
      </c>
      <c r="B96" s="1">
        <f t="shared" si="7"/>
        <v>930</v>
      </c>
      <c r="C96" s="1">
        <v>2876.85</v>
      </c>
      <c r="D96" s="1" t="str">
        <f t="shared" si="8"/>
        <v>20FT</v>
      </c>
      <c r="E96" s="1">
        <f t="shared" si="9"/>
        <v>3.25</v>
      </c>
      <c r="F96" s="1"/>
      <c r="G96" s="1"/>
      <c r="J96" s="8">
        <f t="shared" si="10"/>
        <v>295.54999999999973</v>
      </c>
      <c r="Q96" s="1">
        <v>2854.1</v>
      </c>
    </row>
    <row r="97" spans="1:17" x14ac:dyDescent="0.3">
      <c r="A97" s="12">
        <v>94</v>
      </c>
      <c r="B97" s="1">
        <f t="shared" si="7"/>
        <v>940</v>
      </c>
      <c r="C97" s="1">
        <f>C96+3.25</f>
        <v>2880.1</v>
      </c>
      <c r="D97" s="1" t="str">
        <f t="shared" si="8"/>
        <v>40FT</v>
      </c>
      <c r="E97" s="1"/>
      <c r="F97" s="1">
        <v>2879.498</v>
      </c>
      <c r="G97" s="1">
        <v>2879.4760000000001</v>
      </c>
      <c r="J97" s="8">
        <f t="shared" si="10"/>
        <v>298.79999999999973</v>
      </c>
      <c r="Q97" s="1">
        <v>2867.1</v>
      </c>
    </row>
    <row r="98" spans="1:17" x14ac:dyDescent="0.3">
      <c r="Q98" s="1">
        <v>2880.1</v>
      </c>
    </row>
  </sheetData>
  <mergeCells count="1">
    <mergeCell ref="A1:G1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103"/>
  <sheetViews>
    <sheetView topLeftCell="A54" workbookViewId="0">
      <selection activeCell="E101" sqref="E101"/>
    </sheetView>
  </sheetViews>
  <sheetFormatPr defaultRowHeight="16.5" x14ac:dyDescent="0.3"/>
  <cols>
    <col min="1" max="1" width="9.375" style="1" bestFit="1" customWidth="1"/>
    <col min="2" max="2" width="7.125" style="1" bestFit="1" customWidth="1"/>
    <col min="3" max="3" width="8.5" style="1" bestFit="1" customWidth="1"/>
    <col min="4" max="4" width="5.5" style="1" bestFit="1" customWidth="1"/>
    <col min="5" max="5" width="8.375" style="1" bestFit="1" customWidth="1"/>
    <col min="6" max="6" width="17.25" style="1" bestFit="1" customWidth="1"/>
    <col min="7" max="7" width="18.125" style="1" bestFit="1" customWidth="1"/>
    <col min="8" max="16384" width="9" style="8"/>
  </cols>
  <sheetData>
    <row r="1" spans="1:8" ht="26.25" x14ac:dyDescent="0.3">
      <c r="A1" s="17" t="s">
        <v>95</v>
      </c>
      <c r="B1" s="18"/>
      <c r="C1" s="18"/>
      <c r="D1" s="18"/>
      <c r="E1" s="18"/>
      <c r="F1" s="18"/>
      <c r="G1" s="18"/>
    </row>
    <row r="2" spans="1:8" x14ac:dyDescent="0.3">
      <c r="A2" s="11" t="s">
        <v>40</v>
      </c>
      <c r="B2" s="11" t="s">
        <v>2</v>
      </c>
      <c r="C2" s="11" t="s">
        <v>39</v>
      </c>
      <c r="D2" s="11" t="s">
        <v>38</v>
      </c>
      <c r="E2" s="11" t="s">
        <v>37</v>
      </c>
      <c r="F2" s="11" t="s">
        <v>36</v>
      </c>
      <c r="G2" s="11" t="s">
        <v>35</v>
      </c>
    </row>
    <row r="3" spans="1:8" x14ac:dyDescent="0.3">
      <c r="A3" s="1">
        <v>0</v>
      </c>
      <c r="F3" s="1">
        <v>2204.913</v>
      </c>
      <c r="G3" s="1">
        <v>2204.9070000000002</v>
      </c>
      <c r="H3" s="8" t="s">
        <v>41</v>
      </c>
    </row>
    <row r="4" spans="1:8" x14ac:dyDescent="0.3">
      <c r="A4" s="1">
        <v>1</v>
      </c>
      <c r="B4" s="1">
        <f t="shared" ref="B4:B35" si="0">A4*10</f>
        <v>10</v>
      </c>
      <c r="C4" s="1">
        <v>2206.6799999999998</v>
      </c>
      <c r="D4" s="1" t="str">
        <f t="shared" ref="D4:D35" si="1">IF(MOD(A4,2)=1,"20FT","40FT")</f>
        <v>20FT</v>
      </c>
      <c r="E4" s="1">
        <f t="shared" ref="E4:E35" si="2">C5-C4</f>
        <v>4.5700000000001637</v>
      </c>
    </row>
    <row r="5" spans="1:8" x14ac:dyDescent="0.3">
      <c r="A5" s="1">
        <v>2</v>
      </c>
      <c r="B5" s="1">
        <f t="shared" si="0"/>
        <v>20</v>
      </c>
      <c r="C5" s="1">
        <v>2211.25</v>
      </c>
      <c r="D5" s="1" t="str">
        <f t="shared" si="1"/>
        <v>40FT</v>
      </c>
      <c r="E5" s="1">
        <f t="shared" si="2"/>
        <v>3.0500000000001819</v>
      </c>
    </row>
    <row r="6" spans="1:8" x14ac:dyDescent="0.3">
      <c r="A6" s="1">
        <v>3</v>
      </c>
      <c r="B6" s="1">
        <f t="shared" si="0"/>
        <v>30</v>
      </c>
      <c r="C6" s="1">
        <v>2214.3000000000002</v>
      </c>
      <c r="D6" s="1" t="str">
        <f t="shared" si="1"/>
        <v>20FT</v>
      </c>
      <c r="E6" s="1">
        <f t="shared" si="2"/>
        <v>3.25</v>
      </c>
    </row>
    <row r="7" spans="1:8" x14ac:dyDescent="0.3">
      <c r="A7" s="1">
        <v>4</v>
      </c>
      <c r="B7" s="1">
        <f t="shared" si="0"/>
        <v>40</v>
      </c>
      <c r="C7" s="1">
        <v>2217.5500000000002</v>
      </c>
      <c r="D7" s="1" t="str">
        <f t="shared" si="1"/>
        <v>40FT</v>
      </c>
      <c r="E7" s="1">
        <f t="shared" si="2"/>
        <v>3.25</v>
      </c>
      <c r="F7" s="1">
        <v>2217.5529999999999</v>
      </c>
      <c r="G7" s="1">
        <v>2217.5300000000002</v>
      </c>
    </row>
    <row r="8" spans="1:8" x14ac:dyDescent="0.3">
      <c r="A8" s="1">
        <v>5</v>
      </c>
      <c r="B8" s="1">
        <f t="shared" si="0"/>
        <v>50</v>
      </c>
      <c r="C8" s="1">
        <v>2220.8000000000002</v>
      </c>
      <c r="D8" s="1" t="str">
        <f t="shared" si="1"/>
        <v>20FT</v>
      </c>
      <c r="E8" s="1">
        <f t="shared" si="2"/>
        <v>3.25</v>
      </c>
    </row>
    <row r="9" spans="1:8" x14ac:dyDescent="0.3">
      <c r="A9" s="1">
        <v>6</v>
      </c>
      <c r="B9" s="1">
        <f t="shared" si="0"/>
        <v>60</v>
      </c>
      <c r="C9" s="1">
        <v>2224.0500000000002</v>
      </c>
      <c r="D9" s="1" t="str">
        <f t="shared" si="1"/>
        <v>40FT</v>
      </c>
      <c r="E9" s="1">
        <f t="shared" si="2"/>
        <v>3.25</v>
      </c>
    </row>
    <row r="10" spans="1:8" x14ac:dyDescent="0.3">
      <c r="A10" s="1">
        <v>7</v>
      </c>
      <c r="B10" s="1">
        <f t="shared" si="0"/>
        <v>70</v>
      </c>
      <c r="C10" s="1">
        <v>2227.3000000000002</v>
      </c>
      <c r="D10" s="1" t="str">
        <f t="shared" si="1"/>
        <v>20FT</v>
      </c>
      <c r="E10" s="1">
        <f t="shared" si="2"/>
        <v>3.25</v>
      </c>
    </row>
    <row r="11" spans="1:8" x14ac:dyDescent="0.3">
      <c r="A11" s="1">
        <v>8</v>
      </c>
      <c r="B11" s="1">
        <f t="shared" si="0"/>
        <v>80</v>
      </c>
      <c r="C11" s="1">
        <v>2230.5500000000002</v>
      </c>
      <c r="D11" s="1" t="str">
        <f t="shared" si="1"/>
        <v>40FT</v>
      </c>
      <c r="E11" s="1">
        <f t="shared" si="2"/>
        <v>3.25</v>
      </c>
      <c r="F11" s="1">
        <v>2230.538</v>
      </c>
      <c r="G11" s="1">
        <v>2230.529</v>
      </c>
    </row>
    <row r="12" spans="1:8" x14ac:dyDescent="0.3">
      <c r="A12" s="1">
        <v>9</v>
      </c>
      <c r="B12" s="1">
        <f t="shared" si="0"/>
        <v>90</v>
      </c>
      <c r="C12" s="1">
        <v>2233.8000000000002</v>
      </c>
      <c r="D12" s="1" t="str">
        <f t="shared" si="1"/>
        <v>20FT</v>
      </c>
      <c r="E12" s="1">
        <f t="shared" si="2"/>
        <v>3.25</v>
      </c>
    </row>
    <row r="13" spans="1:8" x14ac:dyDescent="0.3">
      <c r="A13" s="1">
        <v>10</v>
      </c>
      <c r="B13" s="1">
        <f t="shared" si="0"/>
        <v>100</v>
      </c>
      <c r="C13" s="1">
        <v>2237.0500000000002</v>
      </c>
      <c r="D13" s="1" t="str">
        <f t="shared" si="1"/>
        <v>40FT</v>
      </c>
      <c r="E13" s="1">
        <f t="shared" si="2"/>
        <v>3.25</v>
      </c>
    </row>
    <row r="14" spans="1:8" x14ac:dyDescent="0.3">
      <c r="A14" s="1">
        <v>11</v>
      </c>
      <c r="B14" s="1">
        <f t="shared" si="0"/>
        <v>110</v>
      </c>
      <c r="C14" s="1">
        <v>2240.3000000000002</v>
      </c>
      <c r="D14" s="1" t="str">
        <f t="shared" si="1"/>
        <v>20FT</v>
      </c>
      <c r="E14" s="1">
        <f t="shared" si="2"/>
        <v>3.25</v>
      </c>
    </row>
    <row r="15" spans="1:8" x14ac:dyDescent="0.3">
      <c r="A15" s="1">
        <v>12</v>
      </c>
      <c r="B15" s="1">
        <f t="shared" si="0"/>
        <v>120</v>
      </c>
      <c r="C15" s="1">
        <v>2243.5500000000002</v>
      </c>
      <c r="D15" s="1" t="str">
        <f t="shared" si="1"/>
        <v>40FT</v>
      </c>
      <c r="E15" s="1">
        <f t="shared" si="2"/>
        <v>3.25</v>
      </c>
      <c r="F15" s="1">
        <v>2243.527</v>
      </c>
      <c r="G15" s="1">
        <v>2243.527</v>
      </c>
    </row>
    <row r="16" spans="1:8" x14ac:dyDescent="0.3">
      <c r="A16" s="1">
        <v>13</v>
      </c>
      <c r="B16" s="1">
        <f t="shared" si="0"/>
        <v>130</v>
      </c>
      <c r="C16" s="1">
        <v>2246.8000000000002</v>
      </c>
      <c r="D16" s="1" t="str">
        <f t="shared" si="1"/>
        <v>20FT</v>
      </c>
      <c r="E16" s="1">
        <f t="shared" si="2"/>
        <v>3.25</v>
      </c>
    </row>
    <row r="17" spans="1:7" x14ac:dyDescent="0.3">
      <c r="A17" s="1">
        <v>14</v>
      </c>
      <c r="B17" s="1">
        <f t="shared" si="0"/>
        <v>140</v>
      </c>
      <c r="C17" s="1">
        <v>2250.0500000000002</v>
      </c>
      <c r="D17" s="1" t="str">
        <f t="shared" si="1"/>
        <v>40FT</v>
      </c>
      <c r="E17" s="1">
        <f t="shared" si="2"/>
        <v>3.25</v>
      </c>
    </row>
    <row r="18" spans="1:7" x14ac:dyDescent="0.3">
      <c r="A18" s="1">
        <v>15</v>
      </c>
      <c r="B18" s="1">
        <f t="shared" si="0"/>
        <v>150</v>
      </c>
      <c r="C18" s="1">
        <v>2253.3000000000002</v>
      </c>
      <c r="D18" s="1" t="str">
        <f t="shared" si="1"/>
        <v>20FT</v>
      </c>
      <c r="E18" s="1">
        <f t="shared" si="2"/>
        <v>3.25</v>
      </c>
    </row>
    <row r="19" spans="1:7" x14ac:dyDescent="0.3">
      <c r="A19" s="1">
        <v>16</v>
      </c>
      <c r="B19" s="1">
        <f t="shared" si="0"/>
        <v>160</v>
      </c>
      <c r="C19" s="1">
        <v>2256.5500000000002</v>
      </c>
      <c r="D19" s="1" t="str">
        <f t="shared" si="1"/>
        <v>40FT</v>
      </c>
      <c r="E19" s="1">
        <f t="shared" si="2"/>
        <v>3.25</v>
      </c>
      <c r="F19" s="1">
        <v>2256.5340000000001</v>
      </c>
      <c r="G19" s="1">
        <v>2256.518</v>
      </c>
    </row>
    <row r="20" spans="1:7" x14ac:dyDescent="0.3">
      <c r="A20" s="1">
        <v>17</v>
      </c>
      <c r="B20" s="1">
        <f t="shared" si="0"/>
        <v>170</v>
      </c>
      <c r="C20" s="1">
        <v>2259.8000000000002</v>
      </c>
      <c r="D20" s="1" t="str">
        <f t="shared" si="1"/>
        <v>20FT</v>
      </c>
      <c r="E20" s="1">
        <f t="shared" si="2"/>
        <v>3.25</v>
      </c>
    </row>
    <row r="21" spans="1:7" x14ac:dyDescent="0.3">
      <c r="A21" s="1">
        <v>18</v>
      </c>
      <c r="B21" s="1">
        <f t="shared" si="0"/>
        <v>180</v>
      </c>
      <c r="C21" s="1">
        <v>2263.0500000000002</v>
      </c>
      <c r="D21" s="1" t="str">
        <f t="shared" si="1"/>
        <v>40FT</v>
      </c>
      <c r="E21" s="1">
        <f t="shared" si="2"/>
        <v>3.25</v>
      </c>
    </row>
    <row r="22" spans="1:7" x14ac:dyDescent="0.3">
      <c r="A22" s="1">
        <v>19</v>
      </c>
      <c r="B22" s="1">
        <f t="shared" si="0"/>
        <v>190</v>
      </c>
      <c r="C22" s="1">
        <v>2266.3000000000002</v>
      </c>
      <c r="D22" s="1" t="str">
        <f t="shared" si="1"/>
        <v>20FT</v>
      </c>
      <c r="E22" s="1">
        <f t="shared" si="2"/>
        <v>3.25</v>
      </c>
    </row>
    <row r="23" spans="1:7" x14ac:dyDescent="0.3">
      <c r="A23" s="1">
        <v>20</v>
      </c>
      <c r="B23" s="1">
        <f t="shared" si="0"/>
        <v>200</v>
      </c>
      <c r="C23" s="1">
        <v>2269.5500000000002</v>
      </c>
      <c r="D23" s="1" t="str">
        <f t="shared" si="1"/>
        <v>40FT</v>
      </c>
      <c r="E23" s="1">
        <f t="shared" si="2"/>
        <v>3.25</v>
      </c>
      <c r="F23" s="1">
        <v>2269.5369999999998</v>
      </c>
      <c r="G23" s="1">
        <v>2269.5320000000002</v>
      </c>
    </row>
    <row r="24" spans="1:7" x14ac:dyDescent="0.3">
      <c r="A24" s="1">
        <v>21</v>
      </c>
      <c r="B24" s="1">
        <f t="shared" si="0"/>
        <v>210</v>
      </c>
      <c r="C24" s="1">
        <v>2272.8000000000002</v>
      </c>
      <c r="D24" s="1" t="str">
        <f t="shared" si="1"/>
        <v>20FT</v>
      </c>
      <c r="E24" s="1">
        <f t="shared" si="2"/>
        <v>3.25</v>
      </c>
    </row>
    <row r="25" spans="1:7" x14ac:dyDescent="0.3">
      <c r="A25" s="1">
        <v>22</v>
      </c>
      <c r="B25" s="1">
        <f t="shared" si="0"/>
        <v>220</v>
      </c>
      <c r="C25" s="1">
        <v>2276.0500000000002</v>
      </c>
      <c r="D25" s="1" t="str">
        <f t="shared" si="1"/>
        <v>40FT</v>
      </c>
      <c r="E25" s="1">
        <f t="shared" si="2"/>
        <v>3.25</v>
      </c>
    </row>
    <row r="26" spans="1:7" x14ac:dyDescent="0.3">
      <c r="A26" s="1">
        <v>23</v>
      </c>
      <c r="B26" s="1">
        <f t="shared" si="0"/>
        <v>230</v>
      </c>
      <c r="C26" s="1">
        <v>2279.3000000000002</v>
      </c>
      <c r="D26" s="1" t="str">
        <f t="shared" si="1"/>
        <v>20FT</v>
      </c>
      <c r="E26" s="1">
        <f t="shared" si="2"/>
        <v>3.25</v>
      </c>
    </row>
    <row r="27" spans="1:7" x14ac:dyDescent="0.3">
      <c r="A27" s="1">
        <v>24</v>
      </c>
      <c r="B27" s="1">
        <f t="shared" si="0"/>
        <v>240</v>
      </c>
      <c r="C27" s="1">
        <v>2282.5500000000002</v>
      </c>
      <c r="D27" s="1" t="str">
        <f t="shared" si="1"/>
        <v>40FT</v>
      </c>
      <c r="E27" s="1">
        <f t="shared" si="2"/>
        <v>3.25</v>
      </c>
      <c r="F27" s="1">
        <v>2282.5390000000002</v>
      </c>
      <c r="G27" s="1">
        <v>2282.5079999999998</v>
      </c>
    </row>
    <row r="28" spans="1:7" x14ac:dyDescent="0.3">
      <c r="A28" s="1">
        <v>25</v>
      </c>
      <c r="B28" s="1">
        <f t="shared" si="0"/>
        <v>250</v>
      </c>
      <c r="C28" s="1">
        <v>2285.8000000000002</v>
      </c>
      <c r="D28" s="1" t="str">
        <f t="shared" si="1"/>
        <v>20FT</v>
      </c>
      <c r="E28" s="1">
        <f t="shared" si="2"/>
        <v>3.25</v>
      </c>
    </row>
    <row r="29" spans="1:7" x14ac:dyDescent="0.3">
      <c r="A29" s="1">
        <v>26</v>
      </c>
      <c r="B29" s="1">
        <f t="shared" si="0"/>
        <v>260</v>
      </c>
      <c r="C29" s="1">
        <v>2289.0500000000002</v>
      </c>
      <c r="D29" s="1" t="str">
        <f t="shared" si="1"/>
        <v>40FT</v>
      </c>
      <c r="E29" s="1">
        <f t="shared" si="2"/>
        <v>3.25</v>
      </c>
    </row>
    <row r="30" spans="1:7" x14ac:dyDescent="0.3">
      <c r="A30" s="1">
        <v>27</v>
      </c>
      <c r="B30" s="1">
        <f t="shared" si="0"/>
        <v>270</v>
      </c>
      <c r="C30" s="1">
        <v>2292.3000000000002</v>
      </c>
      <c r="D30" s="1" t="str">
        <f t="shared" si="1"/>
        <v>20FT</v>
      </c>
      <c r="E30" s="1">
        <f t="shared" si="2"/>
        <v>3.25</v>
      </c>
    </row>
    <row r="31" spans="1:7" x14ac:dyDescent="0.3">
      <c r="A31" s="1">
        <v>28</v>
      </c>
      <c r="B31" s="1">
        <f t="shared" si="0"/>
        <v>280</v>
      </c>
      <c r="C31" s="1">
        <v>2295.5500000000002</v>
      </c>
      <c r="D31" s="1" t="str">
        <f t="shared" si="1"/>
        <v>40FT</v>
      </c>
      <c r="E31" s="1">
        <f t="shared" si="2"/>
        <v>3.25</v>
      </c>
      <c r="F31" s="1">
        <v>2295.5479999999998</v>
      </c>
      <c r="G31" s="1">
        <v>2295.5100000000002</v>
      </c>
    </row>
    <row r="32" spans="1:7" x14ac:dyDescent="0.3">
      <c r="A32" s="1">
        <v>29</v>
      </c>
      <c r="B32" s="1">
        <f t="shared" si="0"/>
        <v>290</v>
      </c>
      <c r="C32" s="1">
        <v>2298.8000000000002</v>
      </c>
      <c r="D32" s="1" t="str">
        <f t="shared" si="1"/>
        <v>20FT</v>
      </c>
      <c r="E32" s="1">
        <f t="shared" si="2"/>
        <v>3.25</v>
      </c>
    </row>
    <row r="33" spans="1:7" x14ac:dyDescent="0.3">
      <c r="A33" s="1">
        <v>30</v>
      </c>
      <c r="B33" s="1">
        <f t="shared" si="0"/>
        <v>300</v>
      </c>
      <c r="C33" s="1">
        <v>2302.0500000000002</v>
      </c>
      <c r="D33" s="1" t="str">
        <f t="shared" si="1"/>
        <v>40FT</v>
      </c>
      <c r="E33" s="1">
        <f t="shared" si="2"/>
        <v>3.25</v>
      </c>
    </row>
    <row r="34" spans="1:7" x14ac:dyDescent="0.3">
      <c r="A34" s="1">
        <v>31</v>
      </c>
      <c r="B34" s="1">
        <f t="shared" si="0"/>
        <v>310</v>
      </c>
      <c r="C34" s="1">
        <v>2305.3000000000002</v>
      </c>
      <c r="D34" s="1" t="str">
        <f t="shared" si="1"/>
        <v>20FT</v>
      </c>
      <c r="E34" s="1">
        <f t="shared" si="2"/>
        <v>3.25</v>
      </c>
    </row>
    <row r="35" spans="1:7" x14ac:dyDescent="0.3">
      <c r="A35" s="1">
        <v>32</v>
      </c>
      <c r="B35" s="1">
        <f t="shared" si="0"/>
        <v>320</v>
      </c>
      <c r="C35" s="1">
        <v>2308.5500000000002</v>
      </c>
      <c r="D35" s="1" t="str">
        <f t="shared" si="1"/>
        <v>40FT</v>
      </c>
      <c r="E35" s="1">
        <f t="shared" si="2"/>
        <v>3.25</v>
      </c>
      <c r="F35" s="1">
        <v>2308.538</v>
      </c>
      <c r="G35" s="1">
        <v>2308.5320000000002</v>
      </c>
    </row>
    <row r="36" spans="1:7" x14ac:dyDescent="0.3">
      <c r="A36" s="1">
        <v>33</v>
      </c>
      <c r="B36" s="1">
        <f t="shared" ref="B36:B67" si="3">A36*10</f>
        <v>330</v>
      </c>
      <c r="C36" s="1">
        <v>2311.8000000000002</v>
      </c>
      <c r="D36" s="1" t="str">
        <f t="shared" ref="D36:D67" si="4">IF(MOD(A36,2)=1,"20FT","40FT")</f>
        <v>20FT</v>
      </c>
      <c r="E36" s="1">
        <f t="shared" ref="E36:E67" si="5">C37-C36</f>
        <v>3.25</v>
      </c>
    </row>
    <row r="37" spans="1:7" x14ac:dyDescent="0.3">
      <c r="A37" s="1">
        <v>34</v>
      </c>
      <c r="B37" s="1">
        <f t="shared" si="3"/>
        <v>340</v>
      </c>
      <c r="C37" s="1">
        <v>2315.0500000000002</v>
      </c>
      <c r="D37" s="1" t="str">
        <f t="shared" si="4"/>
        <v>40FT</v>
      </c>
      <c r="E37" s="1">
        <f t="shared" si="5"/>
        <v>3.25</v>
      </c>
    </row>
    <row r="38" spans="1:7" x14ac:dyDescent="0.3">
      <c r="A38" s="1">
        <v>35</v>
      </c>
      <c r="B38" s="1">
        <f t="shared" si="3"/>
        <v>350</v>
      </c>
      <c r="C38" s="1">
        <v>2318.3000000000002</v>
      </c>
      <c r="D38" s="1" t="str">
        <f t="shared" si="4"/>
        <v>20FT</v>
      </c>
      <c r="E38" s="1">
        <f t="shared" si="5"/>
        <v>3.25</v>
      </c>
    </row>
    <row r="39" spans="1:7" x14ac:dyDescent="0.3">
      <c r="A39" s="1">
        <v>36</v>
      </c>
      <c r="B39" s="1">
        <f t="shared" si="3"/>
        <v>360</v>
      </c>
      <c r="C39" s="1">
        <v>2321.5500000000002</v>
      </c>
      <c r="D39" s="1" t="str">
        <f t="shared" si="4"/>
        <v>40FT</v>
      </c>
      <c r="E39" s="1">
        <f t="shared" si="5"/>
        <v>3.25</v>
      </c>
      <c r="F39" s="1">
        <v>2321.5450000000001</v>
      </c>
      <c r="G39" s="1">
        <v>2321.527</v>
      </c>
    </row>
    <row r="40" spans="1:7" x14ac:dyDescent="0.3">
      <c r="A40" s="1">
        <v>37</v>
      </c>
      <c r="B40" s="1">
        <f t="shared" si="3"/>
        <v>370</v>
      </c>
      <c r="C40" s="1">
        <v>2324.8000000000002</v>
      </c>
      <c r="D40" s="1" t="str">
        <f t="shared" si="4"/>
        <v>20FT</v>
      </c>
      <c r="E40" s="1">
        <f t="shared" si="5"/>
        <v>3.25</v>
      </c>
    </row>
    <row r="41" spans="1:7" x14ac:dyDescent="0.3">
      <c r="A41" s="1">
        <v>38</v>
      </c>
      <c r="B41" s="1">
        <f t="shared" si="3"/>
        <v>380</v>
      </c>
      <c r="C41" s="1">
        <v>2328.0500000000002</v>
      </c>
      <c r="D41" s="1" t="str">
        <f t="shared" si="4"/>
        <v>40FT</v>
      </c>
      <c r="E41" s="1">
        <f t="shared" si="5"/>
        <v>3.25</v>
      </c>
    </row>
    <row r="42" spans="1:7" x14ac:dyDescent="0.3">
      <c r="A42" s="1">
        <v>39</v>
      </c>
      <c r="B42" s="1">
        <f t="shared" si="3"/>
        <v>390</v>
      </c>
      <c r="C42" s="1">
        <v>2331.3000000000002</v>
      </c>
      <c r="D42" s="1" t="str">
        <f t="shared" si="4"/>
        <v>20FT</v>
      </c>
      <c r="E42" s="1">
        <f t="shared" si="5"/>
        <v>3.25</v>
      </c>
    </row>
    <row r="43" spans="1:7" x14ac:dyDescent="0.3">
      <c r="A43" s="1">
        <v>40</v>
      </c>
      <c r="B43" s="1">
        <f t="shared" si="3"/>
        <v>400</v>
      </c>
      <c r="C43" s="1">
        <v>2334.5500000000002</v>
      </c>
      <c r="D43" s="1" t="str">
        <f t="shared" si="4"/>
        <v>40FT</v>
      </c>
      <c r="E43" s="1">
        <f t="shared" si="5"/>
        <v>3.25</v>
      </c>
      <c r="F43" s="1">
        <v>2334.558</v>
      </c>
      <c r="G43" s="1">
        <v>2334.5340000000001</v>
      </c>
    </row>
    <row r="44" spans="1:7" x14ac:dyDescent="0.3">
      <c r="A44" s="1">
        <v>41</v>
      </c>
      <c r="B44" s="1">
        <f t="shared" si="3"/>
        <v>410</v>
      </c>
      <c r="C44" s="1">
        <v>2337.8000000000002</v>
      </c>
      <c r="D44" s="1" t="str">
        <f t="shared" si="4"/>
        <v>20FT</v>
      </c>
      <c r="E44" s="1">
        <f t="shared" si="5"/>
        <v>3.25</v>
      </c>
    </row>
    <row r="45" spans="1:7" x14ac:dyDescent="0.3">
      <c r="A45" s="1">
        <v>42</v>
      </c>
      <c r="B45" s="1">
        <f t="shared" si="3"/>
        <v>420</v>
      </c>
      <c r="C45" s="1">
        <v>2341.0500000000002</v>
      </c>
      <c r="D45" s="1" t="str">
        <f t="shared" si="4"/>
        <v>40FT</v>
      </c>
      <c r="E45" s="1">
        <f t="shared" si="5"/>
        <v>3.25</v>
      </c>
    </row>
    <row r="46" spans="1:7" x14ac:dyDescent="0.3">
      <c r="A46" s="1">
        <v>43</v>
      </c>
      <c r="B46" s="1">
        <f t="shared" si="3"/>
        <v>430</v>
      </c>
      <c r="C46" s="1">
        <v>2344.3000000000002</v>
      </c>
      <c r="D46" s="1" t="str">
        <f t="shared" si="4"/>
        <v>20FT</v>
      </c>
      <c r="E46" s="1">
        <f t="shared" si="5"/>
        <v>3.25</v>
      </c>
    </row>
    <row r="47" spans="1:7" x14ac:dyDescent="0.3">
      <c r="A47" s="1">
        <v>44</v>
      </c>
      <c r="B47" s="1">
        <f t="shared" si="3"/>
        <v>440</v>
      </c>
      <c r="C47" s="1">
        <v>2347.5500000000002</v>
      </c>
      <c r="D47" s="1" t="str">
        <f t="shared" si="4"/>
        <v>40FT</v>
      </c>
      <c r="E47" s="1">
        <f t="shared" si="5"/>
        <v>3.25</v>
      </c>
      <c r="F47" s="1">
        <v>2347.547</v>
      </c>
      <c r="G47" s="1">
        <v>2347.5439999999999</v>
      </c>
    </row>
    <row r="48" spans="1:7" x14ac:dyDescent="0.3">
      <c r="A48" s="1">
        <v>45</v>
      </c>
      <c r="B48" s="1">
        <f t="shared" si="3"/>
        <v>450</v>
      </c>
      <c r="C48" s="1">
        <v>2350.8000000000002</v>
      </c>
      <c r="D48" s="1" t="str">
        <f t="shared" si="4"/>
        <v>20FT</v>
      </c>
      <c r="E48" s="1">
        <f t="shared" si="5"/>
        <v>3.25</v>
      </c>
    </row>
    <row r="49" spans="1:7" x14ac:dyDescent="0.3">
      <c r="A49" s="1">
        <v>46</v>
      </c>
      <c r="B49" s="1">
        <f t="shared" si="3"/>
        <v>460</v>
      </c>
      <c r="C49" s="1">
        <v>2354.0500000000002</v>
      </c>
      <c r="D49" s="1" t="str">
        <f t="shared" si="4"/>
        <v>40FT</v>
      </c>
      <c r="E49" s="1">
        <f t="shared" si="5"/>
        <v>3.25</v>
      </c>
    </row>
    <row r="50" spans="1:7" x14ac:dyDescent="0.3">
      <c r="A50" s="1">
        <v>47</v>
      </c>
      <c r="B50" s="1">
        <f t="shared" si="3"/>
        <v>470</v>
      </c>
      <c r="C50" s="1">
        <v>2357.3000000000002</v>
      </c>
      <c r="D50" s="1" t="str">
        <f t="shared" si="4"/>
        <v>20FT</v>
      </c>
      <c r="E50" s="1">
        <f t="shared" si="5"/>
        <v>3.25</v>
      </c>
    </row>
    <row r="51" spans="1:7" x14ac:dyDescent="0.3">
      <c r="A51" s="1">
        <v>48</v>
      </c>
      <c r="B51" s="1">
        <f t="shared" si="3"/>
        <v>480</v>
      </c>
      <c r="C51" s="1">
        <v>2360.5500000000002</v>
      </c>
      <c r="D51" s="1" t="str">
        <f t="shared" si="4"/>
        <v>40FT</v>
      </c>
      <c r="E51" s="1">
        <f t="shared" si="5"/>
        <v>3.25</v>
      </c>
      <c r="F51" s="1">
        <v>2360.5529999999999</v>
      </c>
      <c r="G51" s="1">
        <v>2360.5349999999999</v>
      </c>
    </row>
    <row r="52" spans="1:7" x14ac:dyDescent="0.3">
      <c r="A52" s="1">
        <v>49</v>
      </c>
      <c r="B52" s="1">
        <f t="shared" si="3"/>
        <v>490</v>
      </c>
      <c r="C52" s="1">
        <v>2363.8000000000002</v>
      </c>
      <c r="D52" s="1" t="str">
        <f t="shared" si="4"/>
        <v>20FT</v>
      </c>
      <c r="E52" s="1">
        <f t="shared" si="5"/>
        <v>3.25</v>
      </c>
    </row>
    <row r="53" spans="1:7" x14ac:dyDescent="0.3">
      <c r="A53" s="1">
        <v>50</v>
      </c>
      <c r="B53" s="1">
        <f t="shared" si="3"/>
        <v>500</v>
      </c>
      <c r="C53" s="1">
        <v>2367.0500000000002</v>
      </c>
      <c r="D53" s="1" t="str">
        <f t="shared" si="4"/>
        <v>40FT</v>
      </c>
      <c r="E53" s="1">
        <f t="shared" si="5"/>
        <v>3.25</v>
      </c>
    </row>
    <row r="54" spans="1:7" x14ac:dyDescent="0.3">
      <c r="A54" s="1">
        <v>51</v>
      </c>
      <c r="B54" s="1">
        <f t="shared" si="3"/>
        <v>510</v>
      </c>
      <c r="C54" s="1">
        <v>2370.3000000000002</v>
      </c>
      <c r="D54" s="1" t="str">
        <f t="shared" si="4"/>
        <v>20FT</v>
      </c>
      <c r="E54" s="1">
        <f t="shared" si="5"/>
        <v>3.25</v>
      </c>
    </row>
    <row r="55" spans="1:7" x14ac:dyDescent="0.3">
      <c r="A55" s="1">
        <v>52</v>
      </c>
      <c r="B55" s="1">
        <f t="shared" si="3"/>
        <v>520</v>
      </c>
      <c r="C55" s="1">
        <v>2373.5500000000002</v>
      </c>
      <c r="D55" s="1" t="str">
        <f t="shared" si="4"/>
        <v>40FT</v>
      </c>
      <c r="E55" s="1">
        <f t="shared" si="5"/>
        <v>3.25</v>
      </c>
      <c r="F55" s="1">
        <v>2373.547</v>
      </c>
      <c r="G55" s="1">
        <v>2373.556</v>
      </c>
    </row>
    <row r="56" spans="1:7" x14ac:dyDescent="0.3">
      <c r="A56" s="1">
        <v>53</v>
      </c>
      <c r="B56" s="1">
        <f t="shared" si="3"/>
        <v>530</v>
      </c>
      <c r="C56" s="1">
        <v>2376.8000000000002</v>
      </c>
      <c r="D56" s="1" t="str">
        <f t="shared" si="4"/>
        <v>20FT</v>
      </c>
      <c r="E56" s="1">
        <f t="shared" si="5"/>
        <v>3.25</v>
      </c>
    </row>
    <row r="57" spans="1:7" x14ac:dyDescent="0.3">
      <c r="A57" s="1">
        <v>54</v>
      </c>
      <c r="B57" s="1">
        <f t="shared" si="3"/>
        <v>540</v>
      </c>
      <c r="C57" s="1">
        <v>2380.0500000000002</v>
      </c>
      <c r="D57" s="1" t="str">
        <f t="shared" si="4"/>
        <v>40FT</v>
      </c>
      <c r="E57" s="1">
        <f t="shared" si="5"/>
        <v>3.25</v>
      </c>
    </row>
    <row r="58" spans="1:7" x14ac:dyDescent="0.3">
      <c r="A58" s="1">
        <v>55</v>
      </c>
      <c r="B58" s="1">
        <f t="shared" si="3"/>
        <v>550</v>
      </c>
      <c r="C58" s="1">
        <v>2383.3000000000002</v>
      </c>
      <c r="D58" s="1" t="str">
        <f t="shared" si="4"/>
        <v>20FT</v>
      </c>
      <c r="E58" s="1">
        <f t="shared" si="5"/>
        <v>3.25</v>
      </c>
    </row>
    <row r="59" spans="1:7" x14ac:dyDescent="0.3">
      <c r="A59" s="1">
        <v>56</v>
      </c>
      <c r="B59" s="1">
        <f t="shared" si="3"/>
        <v>560</v>
      </c>
      <c r="C59" s="1">
        <v>2386.5500000000002</v>
      </c>
      <c r="D59" s="1" t="str">
        <f t="shared" si="4"/>
        <v>40FT</v>
      </c>
      <c r="E59" s="1">
        <f t="shared" si="5"/>
        <v>3.25</v>
      </c>
      <c r="F59" s="1">
        <v>2386.5500000000002</v>
      </c>
      <c r="G59" s="1">
        <v>2386.5450000000001</v>
      </c>
    </row>
    <row r="60" spans="1:7" x14ac:dyDescent="0.3">
      <c r="A60" s="1">
        <v>57</v>
      </c>
      <c r="B60" s="1">
        <f t="shared" si="3"/>
        <v>570</v>
      </c>
      <c r="C60" s="1">
        <v>2389.8000000000002</v>
      </c>
      <c r="D60" s="1" t="str">
        <f t="shared" si="4"/>
        <v>20FT</v>
      </c>
      <c r="E60" s="1">
        <f t="shared" si="5"/>
        <v>3.25</v>
      </c>
    </row>
    <row r="61" spans="1:7" x14ac:dyDescent="0.3">
      <c r="A61" s="1">
        <v>58</v>
      </c>
      <c r="B61" s="1">
        <f t="shared" si="3"/>
        <v>580</v>
      </c>
      <c r="C61" s="1">
        <v>2393.0500000000002</v>
      </c>
      <c r="D61" s="1" t="str">
        <f t="shared" si="4"/>
        <v>40FT</v>
      </c>
      <c r="E61" s="1">
        <f t="shared" si="5"/>
        <v>3.25</v>
      </c>
    </row>
    <row r="62" spans="1:7" x14ac:dyDescent="0.3">
      <c r="A62" s="1">
        <v>59</v>
      </c>
      <c r="B62" s="1">
        <f t="shared" si="3"/>
        <v>590</v>
      </c>
      <c r="C62" s="1">
        <v>2396.3000000000002</v>
      </c>
      <c r="D62" s="1" t="str">
        <f t="shared" si="4"/>
        <v>20FT</v>
      </c>
      <c r="E62" s="1">
        <f t="shared" si="5"/>
        <v>3.25</v>
      </c>
    </row>
    <row r="63" spans="1:7" x14ac:dyDescent="0.3">
      <c r="A63" s="1">
        <v>60</v>
      </c>
      <c r="B63" s="1">
        <f t="shared" si="3"/>
        <v>600</v>
      </c>
      <c r="C63" s="1">
        <v>2399.5500000000002</v>
      </c>
      <c r="D63" s="1" t="str">
        <f t="shared" si="4"/>
        <v>40FT</v>
      </c>
      <c r="E63" s="1">
        <f t="shared" si="5"/>
        <v>3.25</v>
      </c>
      <c r="F63" s="1">
        <v>2399.5549999999998</v>
      </c>
      <c r="G63" s="1">
        <v>2399.56</v>
      </c>
    </row>
    <row r="64" spans="1:7" x14ac:dyDescent="0.3">
      <c r="A64" s="1">
        <v>61</v>
      </c>
      <c r="B64" s="1">
        <f t="shared" si="3"/>
        <v>610</v>
      </c>
      <c r="C64" s="1">
        <v>2402.8000000000002</v>
      </c>
      <c r="D64" s="1" t="str">
        <f t="shared" si="4"/>
        <v>20FT</v>
      </c>
      <c r="E64" s="1">
        <f t="shared" si="5"/>
        <v>3.25</v>
      </c>
    </row>
    <row r="65" spans="1:7" x14ac:dyDescent="0.3">
      <c r="A65" s="1">
        <v>62</v>
      </c>
      <c r="B65" s="1">
        <f t="shared" si="3"/>
        <v>620</v>
      </c>
      <c r="C65" s="1">
        <v>2406.0500000000002</v>
      </c>
      <c r="D65" s="1" t="str">
        <f t="shared" si="4"/>
        <v>40FT</v>
      </c>
      <c r="E65" s="1">
        <f t="shared" si="5"/>
        <v>3.25</v>
      </c>
    </row>
    <row r="66" spans="1:7" x14ac:dyDescent="0.3">
      <c r="A66" s="1">
        <v>63</v>
      </c>
      <c r="B66" s="1">
        <f t="shared" si="3"/>
        <v>630</v>
      </c>
      <c r="C66" s="1">
        <v>2409.3000000000002</v>
      </c>
      <c r="D66" s="1" t="str">
        <f t="shared" si="4"/>
        <v>20FT</v>
      </c>
      <c r="E66" s="1">
        <f t="shared" si="5"/>
        <v>3.25</v>
      </c>
    </row>
    <row r="67" spans="1:7" x14ac:dyDescent="0.3">
      <c r="A67" s="1">
        <v>64</v>
      </c>
      <c r="B67" s="1">
        <f t="shared" si="3"/>
        <v>640</v>
      </c>
      <c r="C67" s="1">
        <v>2412.5500000000002</v>
      </c>
      <c r="D67" s="1" t="str">
        <f t="shared" si="4"/>
        <v>40FT</v>
      </c>
      <c r="E67" s="1">
        <f t="shared" si="5"/>
        <v>3.25</v>
      </c>
      <c r="F67" s="1">
        <v>2412.5520000000001</v>
      </c>
      <c r="G67" s="1">
        <v>2412.5450000000001</v>
      </c>
    </row>
    <row r="68" spans="1:7" x14ac:dyDescent="0.3">
      <c r="A68" s="1">
        <v>65</v>
      </c>
      <c r="B68" s="1">
        <f t="shared" ref="B68:B99" si="6">A68*10</f>
        <v>650</v>
      </c>
      <c r="C68" s="1">
        <v>2415.8000000000002</v>
      </c>
      <c r="D68" s="1" t="str">
        <f t="shared" ref="D68:D102" si="7">IF(MOD(A68,2)=1,"20FT","40FT")</f>
        <v>20FT</v>
      </c>
      <c r="E68" s="1">
        <f t="shared" ref="E68:E101" si="8">C69-C68</f>
        <v>3.25</v>
      </c>
    </row>
    <row r="69" spans="1:7" x14ac:dyDescent="0.3">
      <c r="A69" s="1">
        <v>66</v>
      </c>
      <c r="B69" s="1">
        <f t="shared" si="6"/>
        <v>660</v>
      </c>
      <c r="C69" s="1">
        <v>2419.0500000000002</v>
      </c>
      <c r="D69" s="1" t="str">
        <f t="shared" si="7"/>
        <v>40FT</v>
      </c>
      <c r="E69" s="1">
        <f t="shared" si="8"/>
        <v>3.25</v>
      </c>
    </row>
    <row r="70" spans="1:7" x14ac:dyDescent="0.3">
      <c r="A70" s="1">
        <v>67</v>
      </c>
      <c r="B70" s="1">
        <f t="shared" si="6"/>
        <v>670</v>
      </c>
      <c r="C70" s="1">
        <v>2422.3000000000002</v>
      </c>
      <c r="D70" s="1" t="str">
        <f t="shared" si="7"/>
        <v>20FT</v>
      </c>
      <c r="E70" s="1">
        <f t="shared" si="8"/>
        <v>3.25</v>
      </c>
    </row>
    <row r="71" spans="1:7" x14ac:dyDescent="0.3">
      <c r="A71" s="1">
        <v>68</v>
      </c>
      <c r="B71" s="1">
        <f t="shared" si="6"/>
        <v>680</v>
      </c>
      <c r="C71" s="1">
        <v>2425.5500000000002</v>
      </c>
      <c r="D71" s="1" t="str">
        <f t="shared" si="7"/>
        <v>40FT</v>
      </c>
      <c r="E71" s="1">
        <f t="shared" si="8"/>
        <v>3.25</v>
      </c>
      <c r="F71" s="1">
        <v>2425.567</v>
      </c>
      <c r="G71" s="1">
        <v>2425.556</v>
      </c>
    </row>
    <row r="72" spans="1:7" x14ac:dyDescent="0.3">
      <c r="A72" s="1">
        <v>69</v>
      </c>
      <c r="B72" s="1">
        <f t="shared" si="6"/>
        <v>690</v>
      </c>
      <c r="C72" s="1">
        <v>2428.8000000000002</v>
      </c>
      <c r="D72" s="1" t="str">
        <f t="shared" si="7"/>
        <v>20FT</v>
      </c>
      <c r="E72" s="1">
        <f t="shared" si="8"/>
        <v>3.25</v>
      </c>
    </row>
    <row r="73" spans="1:7" x14ac:dyDescent="0.3">
      <c r="A73" s="1">
        <v>70</v>
      </c>
      <c r="B73" s="1">
        <f t="shared" si="6"/>
        <v>700</v>
      </c>
      <c r="C73" s="1">
        <v>2432.0500000000002</v>
      </c>
      <c r="D73" s="1" t="str">
        <f t="shared" si="7"/>
        <v>40FT</v>
      </c>
      <c r="E73" s="1">
        <f t="shared" si="8"/>
        <v>3.25</v>
      </c>
    </row>
    <row r="74" spans="1:7" x14ac:dyDescent="0.3">
      <c r="A74" s="1">
        <v>71</v>
      </c>
      <c r="B74" s="1">
        <f t="shared" si="6"/>
        <v>710</v>
      </c>
      <c r="C74" s="1">
        <v>2435.3000000000002</v>
      </c>
      <c r="D74" s="1" t="str">
        <f t="shared" si="7"/>
        <v>20FT</v>
      </c>
      <c r="E74" s="1">
        <f t="shared" si="8"/>
        <v>3.25</v>
      </c>
    </row>
    <row r="75" spans="1:7" x14ac:dyDescent="0.3">
      <c r="A75" s="1">
        <v>72</v>
      </c>
      <c r="B75" s="1">
        <f t="shared" si="6"/>
        <v>720</v>
      </c>
      <c r="C75" s="1">
        <v>2438.5500000000002</v>
      </c>
      <c r="D75" s="1" t="str">
        <f t="shared" si="7"/>
        <v>40FT</v>
      </c>
      <c r="E75" s="1">
        <f t="shared" si="8"/>
        <v>3.25</v>
      </c>
      <c r="F75" s="1">
        <v>2438.5500000000002</v>
      </c>
      <c r="G75" s="1">
        <v>2438.5520000000001</v>
      </c>
    </row>
    <row r="76" spans="1:7" x14ac:dyDescent="0.3">
      <c r="A76" s="1">
        <v>73</v>
      </c>
      <c r="B76" s="1">
        <f t="shared" si="6"/>
        <v>730</v>
      </c>
      <c r="C76" s="1">
        <v>2441.8000000000002</v>
      </c>
      <c r="D76" s="1" t="str">
        <f t="shared" si="7"/>
        <v>20FT</v>
      </c>
      <c r="E76" s="1">
        <f t="shared" si="8"/>
        <v>3.25</v>
      </c>
    </row>
    <row r="77" spans="1:7" x14ac:dyDescent="0.3">
      <c r="A77" s="1">
        <v>74</v>
      </c>
      <c r="B77" s="1">
        <f t="shared" si="6"/>
        <v>740</v>
      </c>
      <c r="C77" s="1">
        <v>2445.0500000000002</v>
      </c>
      <c r="D77" s="1" t="str">
        <f t="shared" si="7"/>
        <v>40FT</v>
      </c>
      <c r="E77" s="1">
        <f t="shared" si="8"/>
        <v>3.25</v>
      </c>
    </row>
    <row r="78" spans="1:7" x14ac:dyDescent="0.3">
      <c r="A78" s="1">
        <v>75</v>
      </c>
      <c r="B78" s="1">
        <f t="shared" si="6"/>
        <v>750</v>
      </c>
      <c r="C78" s="1">
        <v>2448.3000000000002</v>
      </c>
      <c r="D78" s="1" t="str">
        <f t="shared" si="7"/>
        <v>20FT</v>
      </c>
      <c r="E78" s="1">
        <f t="shared" si="8"/>
        <v>3.25</v>
      </c>
    </row>
    <row r="79" spans="1:7" x14ac:dyDescent="0.3">
      <c r="A79" s="1">
        <v>76</v>
      </c>
      <c r="B79" s="1">
        <f t="shared" si="6"/>
        <v>760</v>
      </c>
      <c r="C79" s="1">
        <v>2451.5500000000002</v>
      </c>
      <c r="D79" s="1" t="str">
        <f t="shared" si="7"/>
        <v>40FT</v>
      </c>
      <c r="E79" s="1">
        <f t="shared" si="8"/>
        <v>3.25</v>
      </c>
      <c r="F79" s="1">
        <v>2451.5680000000002</v>
      </c>
      <c r="G79" s="1">
        <v>2451.5790000000002</v>
      </c>
    </row>
    <row r="80" spans="1:7" x14ac:dyDescent="0.3">
      <c r="A80" s="1">
        <v>77</v>
      </c>
      <c r="B80" s="1">
        <f t="shared" si="6"/>
        <v>770</v>
      </c>
      <c r="C80" s="1">
        <v>2454.8000000000002</v>
      </c>
      <c r="D80" s="1" t="str">
        <f t="shared" si="7"/>
        <v>20FT</v>
      </c>
      <c r="E80" s="1">
        <f t="shared" si="8"/>
        <v>3.25</v>
      </c>
    </row>
    <row r="81" spans="1:7" x14ac:dyDescent="0.3">
      <c r="A81" s="1">
        <v>78</v>
      </c>
      <c r="B81" s="1">
        <f t="shared" si="6"/>
        <v>780</v>
      </c>
      <c r="C81" s="1">
        <v>2458.0500000000002</v>
      </c>
      <c r="D81" s="1" t="str">
        <f t="shared" si="7"/>
        <v>40FT</v>
      </c>
      <c r="E81" s="1">
        <f t="shared" si="8"/>
        <v>3.25</v>
      </c>
    </row>
    <row r="82" spans="1:7" x14ac:dyDescent="0.3">
      <c r="A82" s="1">
        <v>79</v>
      </c>
      <c r="B82" s="1">
        <f t="shared" si="6"/>
        <v>790</v>
      </c>
      <c r="C82" s="1">
        <v>2461.3000000000002</v>
      </c>
      <c r="D82" s="1" t="str">
        <f t="shared" si="7"/>
        <v>20FT</v>
      </c>
      <c r="E82" s="1">
        <f t="shared" si="8"/>
        <v>3.25</v>
      </c>
    </row>
    <row r="83" spans="1:7" x14ac:dyDescent="0.3">
      <c r="A83" s="1">
        <v>80</v>
      </c>
      <c r="B83" s="1">
        <f t="shared" si="6"/>
        <v>800</v>
      </c>
      <c r="C83" s="1">
        <v>2464.5500000000002</v>
      </c>
      <c r="D83" s="1" t="str">
        <f t="shared" si="7"/>
        <v>40FT</v>
      </c>
      <c r="E83" s="1">
        <f t="shared" si="8"/>
        <v>3.25</v>
      </c>
      <c r="F83" s="1">
        <v>2464.5569999999998</v>
      </c>
      <c r="G83" s="1">
        <v>2464.569</v>
      </c>
    </row>
    <row r="84" spans="1:7" x14ac:dyDescent="0.3">
      <c r="A84" s="1">
        <v>81</v>
      </c>
      <c r="B84" s="1">
        <f t="shared" si="6"/>
        <v>810</v>
      </c>
      <c r="C84" s="1">
        <v>2467.8000000000002</v>
      </c>
      <c r="D84" s="1" t="str">
        <f t="shared" si="7"/>
        <v>20FT</v>
      </c>
      <c r="E84" s="1">
        <f t="shared" si="8"/>
        <v>3.25</v>
      </c>
    </row>
    <row r="85" spans="1:7" x14ac:dyDescent="0.3">
      <c r="A85" s="1">
        <v>82</v>
      </c>
      <c r="B85" s="1">
        <f t="shared" si="6"/>
        <v>820</v>
      </c>
      <c r="C85" s="1">
        <v>2471.0500000000002</v>
      </c>
      <c r="D85" s="1" t="str">
        <f t="shared" si="7"/>
        <v>40FT</v>
      </c>
      <c r="E85" s="1">
        <f t="shared" si="8"/>
        <v>3.25</v>
      </c>
    </row>
    <row r="86" spans="1:7" x14ac:dyDescent="0.3">
      <c r="A86" s="1">
        <v>83</v>
      </c>
      <c r="B86" s="1">
        <f t="shared" si="6"/>
        <v>830</v>
      </c>
      <c r="C86" s="1">
        <v>2474.3000000000002</v>
      </c>
      <c r="D86" s="1" t="str">
        <f t="shared" si="7"/>
        <v>20FT</v>
      </c>
      <c r="E86" s="1">
        <f t="shared" si="8"/>
        <v>3.25</v>
      </c>
    </row>
    <row r="87" spans="1:7" x14ac:dyDescent="0.3">
      <c r="A87" s="1">
        <v>84</v>
      </c>
      <c r="B87" s="1">
        <f t="shared" si="6"/>
        <v>840</v>
      </c>
      <c r="C87" s="1">
        <v>2477.5500000000002</v>
      </c>
      <c r="D87" s="1" t="str">
        <f t="shared" si="7"/>
        <v>40FT</v>
      </c>
      <c r="E87" s="1">
        <f t="shared" si="8"/>
        <v>3.25</v>
      </c>
      <c r="F87" s="1">
        <v>2477.576</v>
      </c>
      <c r="G87" s="1">
        <v>2477.5790000000002</v>
      </c>
    </row>
    <row r="88" spans="1:7" x14ac:dyDescent="0.3">
      <c r="A88" s="1">
        <v>85</v>
      </c>
      <c r="B88" s="1">
        <f t="shared" si="6"/>
        <v>850</v>
      </c>
      <c r="C88" s="1">
        <v>2480.8000000000002</v>
      </c>
      <c r="D88" s="1" t="str">
        <f t="shared" si="7"/>
        <v>20FT</v>
      </c>
      <c r="E88" s="1">
        <f t="shared" si="8"/>
        <v>3.25</v>
      </c>
    </row>
    <row r="89" spans="1:7" x14ac:dyDescent="0.3">
      <c r="A89" s="1">
        <v>86</v>
      </c>
      <c r="B89" s="1">
        <f t="shared" si="6"/>
        <v>860</v>
      </c>
      <c r="C89" s="1">
        <v>2484.0500000000002</v>
      </c>
      <c r="D89" s="1" t="str">
        <f t="shared" si="7"/>
        <v>40FT</v>
      </c>
      <c r="E89" s="1">
        <f t="shared" si="8"/>
        <v>3.25</v>
      </c>
    </row>
    <row r="90" spans="1:7" x14ac:dyDescent="0.3">
      <c r="A90" s="1">
        <v>87</v>
      </c>
      <c r="B90" s="1">
        <f t="shared" si="6"/>
        <v>870</v>
      </c>
      <c r="C90" s="1">
        <v>2487.3000000000002</v>
      </c>
      <c r="D90" s="1" t="str">
        <f t="shared" si="7"/>
        <v>20FT</v>
      </c>
      <c r="E90" s="1">
        <f t="shared" si="8"/>
        <v>3.25</v>
      </c>
    </row>
    <row r="91" spans="1:7" x14ac:dyDescent="0.3">
      <c r="A91" s="1">
        <v>88</v>
      </c>
      <c r="B91" s="1">
        <f t="shared" si="6"/>
        <v>880</v>
      </c>
      <c r="C91" s="1">
        <v>2490.5500000000002</v>
      </c>
      <c r="D91" s="1" t="str">
        <f t="shared" si="7"/>
        <v>40FT</v>
      </c>
      <c r="E91" s="1">
        <f t="shared" si="8"/>
        <v>3.25</v>
      </c>
      <c r="F91" s="1">
        <v>2490.5830000000001</v>
      </c>
      <c r="G91" s="1">
        <v>2490.5740000000001</v>
      </c>
    </row>
    <row r="92" spans="1:7" x14ac:dyDescent="0.3">
      <c r="A92" s="1">
        <v>89</v>
      </c>
      <c r="B92" s="1">
        <f t="shared" si="6"/>
        <v>890</v>
      </c>
      <c r="C92" s="1">
        <v>2493.8000000000002</v>
      </c>
      <c r="D92" s="1" t="str">
        <f t="shared" si="7"/>
        <v>20FT</v>
      </c>
      <c r="E92" s="1">
        <f t="shared" si="8"/>
        <v>3.25</v>
      </c>
    </row>
    <row r="93" spans="1:7" x14ac:dyDescent="0.3">
      <c r="A93" s="1">
        <v>90</v>
      </c>
      <c r="B93" s="1">
        <f t="shared" si="6"/>
        <v>900</v>
      </c>
      <c r="C93" s="1">
        <v>2497.0500000000002</v>
      </c>
      <c r="D93" s="1" t="str">
        <f t="shared" si="7"/>
        <v>40FT</v>
      </c>
      <c r="E93" s="1">
        <f t="shared" si="8"/>
        <v>3.25</v>
      </c>
    </row>
    <row r="94" spans="1:7" x14ac:dyDescent="0.3">
      <c r="A94" s="1">
        <v>91</v>
      </c>
      <c r="B94" s="1">
        <f t="shared" si="6"/>
        <v>910</v>
      </c>
      <c r="C94" s="1">
        <v>2500.3000000000002</v>
      </c>
      <c r="D94" s="1" t="str">
        <f t="shared" si="7"/>
        <v>20FT</v>
      </c>
      <c r="E94" s="1">
        <f t="shared" si="8"/>
        <v>3.25</v>
      </c>
    </row>
    <row r="95" spans="1:7" x14ac:dyDescent="0.3">
      <c r="A95" s="1">
        <v>92</v>
      </c>
      <c r="B95" s="1">
        <f t="shared" si="6"/>
        <v>920</v>
      </c>
      <c r="C95" s="1">
        <v>2503.5500000000002</v>
      </c>
      <c r="D95" s="1" t="str">
        <f t="shared" si="7"/>
        <v>40FT</v>
      </c>
      <c r="E95" s="1">
        <f t="shared" si="8"/>
        <v>3.25</v>
      </c>
      <c r="F95" s="1">
        <v>2503.5810000000001</v>
      </c>
      <c r="G95" s="1">
        <v>2503.5749999999998</v>
      </c>
    </row>
    <row r="96" spans="1:7" x14ac:dyDescent="0.3">
      <c r="A96" s="1">
        <v>93</v>
      </c>
      <c r="B96" s="1">
        <f t="shared" si="6"/>
        <v>930</v>
      </c>
      <c r="C96" s="1">
        <v>2506.8000000000002</v>
      </c>
      <c r="D96" s="1" t="str">
        <f t="shared" si="7"/>
        <v>20FT</v>
      </c>
      <c r="E96" s="1">
        <f t="shared" si="8"/>
        <v>3.25</v>
      </c>
    </row>
    <row r="97" spans="1:8" x14ac:dyDescent="0.3">
      <c r="A97" s="1">
        <v>94</v>
      </c>
      <c r="B97" s="1">
        <f t="shared" si="6"/>
        <v>940</v>
      </c>
      <c r="C97" s="1">
        <v>2510.0500000000002</v>
      </c>
      <c r="D97" s="1" t="str">
        <f t="shared" si="7"/>
        <v>40FT</v>
      </c>
      <c r="E97" s="1">
        <f t="shared" si="8"/>
        <v>3.25</v>
      </c>
    </row>
    <row r="98" spans="1:8" x14ac:dyDescent="0.3">
      <c r="A98" s="1">
        <v>95</v>
      </c>
      <c r="B98" s="1">
        <f t="shared" si="6"/>
        <v>950</v>
      </c>
      <c r="C98" s="1">
        <v>2513.3000000000002</v>
      </c>
      <c r="D98" s="1" t="str">
        <f t="shared" si="7"/>
        <v>20FT</v>
      </c>
      <c r="E98" s="1">
        <f t="shared" si="8"/>
        <v>3.25</v>
      </c>
    </row>
    <row r="99" spans="1:8" x14ac:dyDescent="0.3">
      <c r="A99" s="1">
        <v>96</v>
      </c>
      <c r="B99" s="1">
        <f t="shared" si="6"/>
        <v>960</v>
      </c>
      <c r="C99" s="1">
        <v>2516.5500000000002</v>
      </c>
      <c r="D99" s="1" t="str">
        <f t="shared" si="7"/>
        <v>40FT</v>
      </c>
      <c r="E99" s="1">
        <f t="shared" si="8"/>
        <v>3.25</v>
      </c>
      <c r="F99" s="1">
        <v>2516.5859999999998</v>
      </c>
      <c r="G99" s="1">
        <v>2516.5909999999999</v>
      </c>
    </row>
    <row r="100" spans="1:8" x14ac:dyDescent="0.3">
      <c r="A100" s="1">
        <v>97</v>
      </c>
      <c r="B100" s="1">
        <f t="shared" ref="B100:B102" si="9">A100*10</f>
        <v>970</v>
      </c>
      <c r="C100" s="1">
        <v>2519.8000000000002</v>
      </c>
      <c r="D100" s="1" t="str">
        <f t="shared" si="7"/>
        <v>20FT</v>
      </c>
      <c r="E100" s="1">
        <f t="shared" si="8"/>
        <v>3.0500000000001819</v>
      </c>
    </row>
    <row r="101" spans="1:8" x14ac:dyDescent="0.3">
      <c r="A101" s="1">
        <v>98</v>
      </c>
      <c r="B101" s="1">
        <f t="shared" si="9"/>
        <v>980</v>
      </c>
      <c r="C101" s="1">
        <f>C100+3.05</f>
        <v>2522.8500000000004</v>
      </c>
      <c r="D101" s="1" t="str">
        <f t="shared" si="7"/>
        <v>40FT</v>
      </c>
      <c r="E101" s="1">
        <f t="shared" si="8"/>
        <v>4.569999999999709</v>
      </c>
    </row>
    <row r="102" spans="1:8" x14ac:dyDescent="0.3">
      <c r="A102" s="1">
        <v>99</v>
      </c>
      <c r="B102" s="1">
        <f t="shared" si="9"/>
        <v>990</v>
      </c>
      <c r="C102" s="1">
        <v>2527.42</v>
      </c>
      <c r="D102" s="1" t="str">
        <f t="shared" si="7"/>
        <v>20FT</v>
      </c>
    </row>
    <row r="103" spans="1:8" x14ac:dyDescent="0.3">
      <c r="F103" s="1">
        <v>2529.2040000000002</v>
      </c>
      <c r="G103" s="1">
        <v>2529.2040000000002</v>
      </c>
      <c r="H103" s="8" t="s">
        <v>41</v>
      </c>
    </row>
  </sheetData>
  <mergeCells count="1">
    <mergeCell ref="A1:G1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103"/>
  <sheetViews>
    <sheetView topLeftCell="A61" workbookViewId="0">
      <selection activeCell="J94" sqref="J94"/>
    </sheetView>
  </sheetViews>
  <sheetFormatPr defaultRowHeight="16.5" x14ac:dyDescent="0.3"/>
  <cols>
    <col min="1" max="1" width="9.375" bestFit="1" customWidth="1"/>
    <col min="2" max="2" width="7.125" bestFit="1" customWidth="1"/>
    <col min="3" max="3" width="8.5" bestFit="1" customWidth="1"/>
    <col min="4" max="4" width="5.5" bestFit="1" customWidth="1"/>
    <col min="5" max="5" width="8.375" bestFit="1" customWidth="1"/>
    <col min="6" max="6" width="17.25" bestFit="1" customWidth="1"/>
    <col min="7" max="7" width="18.125" bestFit="1" customWidth="1"/>
  </cols>
  <sheetData>
    <row r="1" spans="1:8" ht="26.25" x14ac:dyDescent="0.3">
      <c r="A1" s="17" t="s">
        <v>96</v>
      </c>
      <c r="B1" s="18"/>
      <c r="C1" s="18"/>
      <c r="D1" s="18"/>
      <c r="E1" s="18"/>
      <c r="F1" s="18"/>
      <c r="G1" s="18"/>
    </row>
    <row r="2" spans="1:8" x14ac:dyDescent="0.3">
      <c r="A2" s="11" t="s">
        <v>40</v>
      </c>
      <c r="B2" s="11" t="s">
        <v>2</v>
      </c>
      <c r="C2" s="11" t="s">
        <v>39</v>
      </c>
      <c r="D2" s="11" t="s">
        <v>38</v>
      </c>
      <c r="E2" s="11" t="s">
        <v>37</v>
      </c>
      <c r="F2" s="11" t="s">
        <v>36</v>
      </c>
      <c r="G2" s="11" t="s">
        <v>35</v>
      </c>
    </row>
    <row r="3" spans="1:8" x14ac:dyDescent="0.3">
      <c r="A3" s="1">
        <v>0</v>
      </c>
      <c r="B3" s="1"/>
      <c r="C3" s="1"/>
      <c r="D3" s="1"/>
      <c r="E3" s="1"/>
      <c r="F3" s="1" t="s">
        <v>92</v>
      </c>
      <c r="G3" s="1" t="s">
        <v>91</v>
      </c>
      <c r="H3" t="s">
        <v>41</v>
      </c>
    </row>
    <row r="4" spans="1:8" x14ac:dyDescent="0.3">
      <c r="A4" s="1">
        <v>1</v>
      </c>
      <c r="B4" s="1">
        <f t="shared" ref="B4:B35" si="0">A4*10</f>
        <v>10</v>
      </c>
      <c r="C4" s="1">
        <v>1836.6</v>
      </c>
      <c r="D4" s="1" t="str">
        <f t="shared" ref="D4:D35" si="1">IF(MOD(A4,2)=1,"20FT","40FT")</f>
        <v>20FT</v>
      </c>
      <c r="E4" s="1">
        <f t="shared" ref="E4:E35" si="2">C5-C4</f>
        <v>4.5700000000001637</v>
      </c>
      <c r="F4" s="1"/>
      <c r="G4" s="1"/>
    </row>
    <row r="5" spans="1:8" x14ac:dyDescent="0.3">
      <c r="A5" s="1">
        <v>2</v>
      </c>
      <c r="B5" s="1">
        <f t="shared" si="0"/>
        <v>20</v>
      </c>
      <c r="C5" s="1">
        <v>1841.17</v>
      </c>
      <c r="D5" s="1" t="str">
        <f t="shared" si="1"/>
        <v>40FT</v>
      </c>
      <c r="E5" s="1">
        <f t="shared" si="2"/>
        <v>3.0499999999999545</v>
      </c>
      <c r="F5" s="1"/>
      <c r="G5" s="1"/>
    </row>
    <row r="6" spans="1:8" x14ac:dyDescent="0.3">
      <c r="A6" s="1">
        <v>3</v>
      </c>
      <c r="B6" s="1">
        <f t="shared" si="0"/>
        <v>30</v>
      </c>
      <c r="C6" s="1">
        <v>1844.22</v>
      </c>
      <c r="D6" s="1" t="str">
        <f t="shared" si="1"/>
        <v>20FT</v>
      </c>
      <c r="E6" s="1">
        <f t="shared" si="2"/>
        <v>3.25</v>
      </c>
      <c r="F6" s="1"/>
      <c r="G6" s="1"/>
    </row>
    <row r="7" spans="1:8" x14ac:dyDescent="0.3">
      <c r="A7" s="1">
        <v>4</v>
      </c>
      <c r="B7" s="1">
        <f t="shared" si="0"/>
        <v>40</v>
      </c>
      <c r="C7" s="1">
        <v>1847.47</v>
      </c>
      <c r="D7" s="1" t="str">
        <f t="shared" si="1"/>
        <v>40FT</v>
      </c>
      <c r="E7" s="1">
        <f t="shared" si="2"/>
        <v>3.25</v>
      </c>
      <c r="F7" s="1" t="s">
        <v>90</v>
      </c>
      <c r="G7" s="1" t="s">
        <v>89</v>
      </c>
    </row>
    <row r="8" spans="1:8" x14ac:dyDescent="0.3">
      <c r="A8" s="1">
        <v>5</v>
      </c>
      <c r="B8" s="1">
        <f t="shared" si="0"/>
        <v>50</v>
      </c>
      <c r="C8" s="1">
        <v>1850.72</v>
      </c>
      <c r="D8" s="1" t="str">
        <f t="shared" si="1"/>
        <v>20FT</v>
      </c>
      <c r="E8" s="1">
        <f t="shared" si="2"/>
        <v>3.25</v>
      </c>
      <c r="F8" s="1"/>
      <c r="G8" s="1"/>
    </row>
    <row r="9" spans="1:8" x14ac:dyDescent="0.3">
      <c r="A9" s="1">
        <v>6</v>
      </c>
      <c r="B9" s="1">
        <f t="shared" si="0"/>
        <v>60</v>
      </c>
      <c r="C9" s="1">
        <v>1853.97</v>
      </c>
      <c r="D9" s="1" t="str">
        <f t="shared" si="1"/>
        <v>40FT</v>
      </c>
      <c r="E9" s="1">
        <f t="shared" si="2"/>
        <v>3.25</v>
      </c>
      <c r="F9" s="1"/>
      <c r="G9" s="1"/>
    </row>
    <row r="10" spans="1:8" x14ac:dyDescent="0.3">
      <c r="A10" s="1">
        <v>7</v>
      </c>
      <c r="B10" s="1">
        <f t="shared" si="0"/>
        <v>70</v>
      </c>
      <c r="C10" s="1">
        <v>1857.22</v>
      </c>
      <c r="D10" s="1" t="str">
        <f t="shared" si="1"/>
        <v>20FT</v>
      </c>
      <c r="E10" s="1">
        <f t="shared" si="2"/>
        <v>3.25</v>
      </c>
      <c r="F10" s="1"/>
      <c r="G10" s="1"/>
    </row>
    <row r="11" spans="1:8" x14ac:dyDescent="0.3">
      <c r="A11" s="1">
        <v>8</v>
      </c>
      <c r="B11" s="1">
        <f t="shared" si="0"/>
        <v>80</v>
      </c>
      <c r="C11" s="1">
        <v>1860.47</v>
      </c>
      <c r="D11" s="1" t="str">
        <f t="shared" si="1"/>
        <v>40FT</v>
      </c>
      <c r="E11" s="1">
        <f t="shared" si="2"/>
        <v>3.25</v>
      </c>
      <c r="F11" s="1" t="s">
        <v>88</v>
      </c>
      <c r="G11" s="1" t="s">
        <v>87</v>
      </c>
    </row>
    <row r="12" spans="1:8" x14ac:dyDescent="0.3">
      <c r="A12" s="1">
        <v>9</v>
      </c>
      <c r="B12" s="1">
        <f t="shared" si="0"/>
        <v>90</v>
      </c>
      <c r="C12" s="1">
        <v>1863.72</v>
      </c>
      <c r="D12" s="1" t="str">
        <f t="shared" si="1"/>
        <v>20FT</v>
      </c>
      <c r="E12" s="1">
        <f t="shared" si="2"/>
        <v>3.25</v>
      </c>
      <c r="F12" s="1"/>
      <c r="G12" s="1"/>
    </row>
    <row r="13" spans="1:8" x14ac:dyDescent="0.3">
      <c r="A13" s="1">
        <v>10</v>
      </c>
      <c r="B13" s="1">
        <f t="shared" si="0"/>
        <v>100</v>
      </c>
      <c r="C13" s="1">
        <v>1866.97</v>
      </c>
      <c r="D13" s="1" t="str">
        <f t="shared" si="1"/>
        <v>40FT</v>
      </c>
      <c r="E13" s="1">
        <f t="shared" si="2"/>
        <v>3.25</v>
      </c>
      <c r="F13" s="1"/>
      <c r="G13" s="1"/>
    </row>
    <row r="14" spans="1:8" x14ac:dyDescent="0.3">
      <c r="A14" s="1">
        <v>11</v>
      </c>
      <c r="B14" s="1">
        <f t="shared" si="0"/>
        <v>110</v>
      </c>
      <c r="C14" s="1">
        <v>1870.22</v>
      </c>
      <c r="D14" s="1" t="str">
        <f t="shared" si="1"/>
        <v>20FT</v>
      </c>
      <c r="E14" s="1">
        <f t="shared" si="2"/>
        <v>3.25</v>
      </c>
      <c r="F14" s="1"/>
      <c r="G14" s="1"/>
    </row>
    <row r="15" spans="1:8" x14ac:dyDescent="0.3">
      <c r="A15" s="1">
        <v>12</v>
      </c>
      <c r="B15" s="1">
        <f t="shared" si="0"/>
        <v>120</v>
      </c>
      <c r="C15" s="1">
        <v>1873.47</v>
      </c>
      <c r="D15" s="1" t="str">
        <f t="shared" si="1"/>
        <v>40FT</v>
      </c>
      <c r="E15" s="1">
        <f t="shared" si="2"/>
        <v>3.25</v>
      </c>
      <c r="F15" s="1" t="s">
        <v>86</v>
      </c>
      <c r="G15" s="1" t="s">
        <v>85</v>
      </c>
    </row>
    <row r="16" spans="1:8" x14ac:dyDescent="0.3">
      <c r="A16" s="1">
        <v>13</v>
      </c>
      <c r="B16" s="1">
        <f t="shared" si="0"/>
        <v>130</v>
      </c>
      <c r="C16" s="1">
        <v>1876.72</v>
      </c>
      <c r="D16" s="1" t="str">
        <f t="shared" si="1"/>
        <v>20FT</v>
      </c>
      <c r="E16" s="1">
        <f t="shared" si="2"/>
        <v>3.25</v>
      </c>
      <c r="F16" s="1"/>
      <c r="G16" s="1"/>
    </row>
    <row r="17" spans="1:7" x14ac:dyDescent="0.3">
      <c r="A17" s="1">
        <v>14</v>
      </c>
      <c r="B17" s="1">
        <f t="shared" si="0"/>
        <v>140</v>
      </c>
      <c r="C17" s="1">
        <v>1879.97</v>
      </c>
      <c r="D17" s="1" t="str">
        <f t="shared" si="1"/>
        <v>40FT</v>
      </c>
      <c r="E17" s="1">
        <f t="shared" si="2"/>
        <v>3.25</v>
      </c>
      <c r="F17" s="1"/>
      <c r="G17" s="1"/>
    </row>
    <row r="18" spans="1:7" x14ac:dyDescent="0.3">
      <c r="A18" s="1">
        <v>15</v>
      </c>
      <c r="B18" s="1">
        <f t="shared" si="0"/>
        <v>150</v>
      </c>
      <c r="C18" s="1">
        <v>1883.22</v>
      </c>
      <c r="D18" s="1" t="str">
        <f t="shared" si="1"/>
        <v>20FT</v>
      </c>
      <c r="E18" s="1">
        <f t="shared" si="2"/>
        <v>3.25</v>
      </c>
      <c r="F18" s="1"/>
      <c r="G18" s="1"/>
    </row>
    <row r="19" spans="1:7" x14ac:dyDescent="0.3">
      <c r="A19" s="1">
        <v>16</v>
      </c>
      <c r="B19" s="1">
        <f t="shared" si="0"/>
        <v>160</v>
      </c>
      <c r="C19" s="1">
        <v>1886.47</v>
      </c>
      <c r="D19" s="1" t="str">
        <f t="shared" si="1"/>
        <v>40FT</v>
      </c>
      <c r="E19" s="1">
        <f t="shared" si="2"/>
        <v>3.25</v>
      </c>
      <c r="F19" s="1" t="s">
        <v>84</v>
      </c>
      <c r="G19" s="1" t="s">
        <v>83</v>
      </c>
    </row>
    <row r="20" spans="1:7" x14ac:dyDescent="0.3">
      <c r="A20" s="1">
        <v>17</v>
      </c>
      <c r="B20" s="1">
        <f t="shared" si="0"/>
        <v>170</v>
      </c>
      <c r="C20" s="1">
        <v>1889.72</v>
      </c>
      <c r="D20" s="1" t="str">
        <f t="shared" si="1"/>
        <v>20FT</v>
      </c>
      <c r="E20" s="1">
        <f t="shared" si="2"/>
        <v>3.25</v>
      </c>
      <c r="F20" s="1"/>
      <c r="G20" s="1"/>
    </row>
    <row r="21" spans="1:7" x14ac:dyDescent="0.3">
      <c r="A21" s="1">
        <v>18</v>
      </c>
      <c r="B21" s="1">
        <f t="shared" si="0"/>
        <v>180</v>
      </c>
      <c r="C21" s="1">
        <v>1892.97</v>
      </c>
      <c r="D21" s="1" t="str">
        <f t="shared" si="1"/>
        <v>40FT</v>
      </c>
      <c r="E21" s="1">
        <f t="shared" si="2"/>
        <v>3.25</v>
      </c>
      <c r="F21" s="1"/>
      <c r="G21" s="1"/>
    </row>
    <row r="22" spans="1:7" x14ac:dyDescent="0.3">
      <c r="A22" s="1">
        <v>19</v>
      </c>
      <c r="B22" s="1">
        <f t="shared" si="0"/>
        <v>190</v>
      </c>
      <c r="C22" s="1">
        <v>1896.22</v>
      </c>
      <c r="D22" s="1" t="str">
        <f t="shared" si="1"/>
        <v>20FT</v>
      </c>
      <c r="E22" s="1">
        <f t="shared" si="2"/>
        <v>3.25</v>
      </c>
      <c r="F22" s="1"/>
      <c r="G22" s="1"/>
    </row>
    <row r="23" spans="1:7" x14ac:dyDescent="0.3">
      <c r="A23" s="1">
        <v>20</v>
      </c>
      <c r="B23" s="1">
        <f t="shared" si="0"/>
        <v>200</v>
      </c>
      <c r="C23" s="1">
        <v>1899.47</v>
      </c>
      <c r="D23" s="1" t="str">
        <f t="shared" si="1"/>
        <v>40FT</v>
      </c>
      <c r="E23" s="1">
        <f t="shared" si="2"/>
        <v>3.25</v>
      </c>
      <c r="F23" s="1" t="s">
        <v>82</v>
      </c>
      <c r="G23" s="1" t="s">
        <v>81</v>
      </c>
    </row>
    <row r="24" spans="1:7" x14ac:dyDescent="0.3">
      <c r="A24" s="1">
        <v>21</v>
      </c>
      <c r="B24" s="1">
        <f t="shared" si="0"/>
        <v>210</v>
      </c>
      <c r="C24" s="1">
        <v>1902.72</v>
      </c>
      <c r="D24" s="1" t="str">
        <f t="shared" si="1"/>
        <v>20FT</v>
      </c>
      <c r="E24" s="1">
        <f t="shared" si="2"/>
        <v>3.25</v>
      </c>
      <c r="F24" s="1"/>
      <c r="G24" s="1"/>
    </row>
    <row r="25" spans="1:7" x14ac:dyDescent="0.3">
      <c r="A25" s="1">
        <v>22</v>
      </c>
      <c r="B25" s="1">
        <f t="shared" si="0"/>
        <v>220</v>
      </c>
      <c r="C25" s="1">
        <v>1905.97</v>
      </c>
      <c r="D25" s="1" t="str">
        <f t="shared" si="1"/>
        <v>40FT</v>
      </c>
      <c r="E25" s="1">
        <f t="shared" si="2"/>
        <v>3.25</v>
      </c>
      <c r="F25" s="1"/>
      <c r="G25" s="1"/>
    </row>
    <row r="26" spans="1:7" x14ac:dyDescent="0.3">
      <c r="A26" s="1">
        <v>23</v>
      </c>
      <c r="B26" s="1">
        <f t="shared" si="0"/>
        <v>230</v>
      </c>
      <c r="C26" s="1">
        <v>1909.22</v>
      </c>
      <c r="D26" s="1" t="str">
        <f t="shared" si="1"/>
        <v>20FT</v>
      </c>
      <c r="E26" s="1">
        <f t="shared" si="2"/>
        <v>3.25</v>
      </c>
      <c r="F26" s="1"/>
      <c r="G26" s="1"/>
    </row>
    <row r="27" spans="1:7" x14ac:dyDescent="0.3">
      <c r="A27" s="1">
        <v>24</v>
      </c>
      <c r="B27" s="1">
        <f t="shared" si="0"/>
        <v>240</v>
      </c>
      <c r="C27" s="1">
        <v>1912.47</v>
      </c>
      <c r="D27" s="1" t="str">
        <f t="shared" si="1"/>
        <v>40FT</v>
      </c>
      <c r="E27" s="1">
        <f t="shared" si="2"/>
        <v>3.25</v>
      </c>
      <c r="F27" s="1" t="s">
        <v>80</v>
      </c>
      <c r="G27" s="1" t="s">
        <v>79</v>
      </c>
    </row>
    <row r="28" spans="1:7" x14ac:dyDescent="0.3">
      <c r="A28" s="1">
        <v>25</v>
      </c>
      <c r="B28" s="1">
        <f t="shared" si="0"/>
        <v>250</v>
      </c>
      <c r="C28" s="1">
        <v>1915.72</v>
      </c>
      <c r="D28" s="1" t="str">
        <f t="shared" si="1"/>
        <v>20FT</v>
      </c>
      <c r="E28" s="1">
        <f t="shared" si="2"/>
        <v>3.25</v>
      </c>
      <c r="F28" s="1"/>
      <c r="G28" s="1"/>
    </row>
    <row r="29" spans="1:7" x14ac:dyDescent="0.3">
      <c r="A29" s="1">
        <v>26</v>
      </c>
      <c r="B29" s="1">
        <f t="shared" si="0"/>
        <v>260</v>
      </c>
      <c r="C29" s="1">
        <v>1918.97</v>
      </c>
      <c r="D29" s="1" t="str">
        <f t="shared" si="1"/>
        <v>40FT</v>
      </c>
      <c r="E29" s="1">
        <f t="shared" si="2"/>
        <v>3.25</v>
      </c>
      <c r="F29" s="1"/>
      <c r="G29" s="1"/>
    </row>
    <row r="30" spans="1:7" x14ac:dyDescent="0.3">
      <c r="A30" s="1">
        <v>27</v>
      </c>
      <c r="B30" s="1">
        <f t="shared" si="0"/>
        <v>270</v>
      </c>
      <c r="C30" s="1">
        <v>1922.22</v>
      </c>
      <c r="D30" s="1" t="str">
        <f t="shared" si="1"/>
        <v>20FT</v>
      </c>
      <c r="E30" s="1">
        <f t="shared" si="2"/>
        <v>3.25</v>
      </c>
      <c r="F30" s="1"/>
      <c r="G30" s="1"/>
    </row>
    <row r="31" spans="1:7" x14ac:dyDescent="0.3">
      <c r="A31" s="1">
        <v>28</v>
      </c>
      <c r="B31" s="1">
        <f t="shared" si="0"/>
        <v>280</v>
      </c>
      <c r="C31" s="1">
        <v>1925.47</v>
      </c>
      <c r="D31" s="1" t="str">
        <f t="shared" si="1"/>
        <v>40FT</v>
      </c>
      <c r="E31" s="1">
        <f t="shared" si="2"/>
        <v>3.25</v>
      </c>
      <c r="F31" s="1" t="s">
        <v>78</v>
      </c>
      <c r="G31" s="1" t="s">
        <v>77</v>
      </c>
    </row>
    <row r="32" spans="1:7" x14ac:dyDescent="0.3">
      <c r="A32" s="1">
        <v>29</v>
      </c>
      <c r="B32" s="1">
        <f t="shared" si="0"/>
        <v>290</v>
      </c>
      <c r="C32" s="1">
        <v>1928.72</v>
      </c>
      <c r="D32" s="1" t="str">
        <f t="shared" si="1"/>
        <v>20FT</v>
      </c>
      <c r="E32" s="1">
        <f t="shared" si="2"/>
        <v>3.25</v>
      </c>
      <c r="F32" s="1"/>
      <c r="G32" s="1"/>
    </row>
    <row r="33" spans="1:7" x14ac:dyDescent="0.3">
      <c r="A33" s="1">
        <v>30</v>
      </c>
      <c r="B33" s="1">
        <f t="shared" si="0"/>
        <v>300</v>
      </c>
      <c r="C33" s="1">
        <v>1931.97</v>
      </c>
      <c r="D33" s="1" t="str">
        <f t="shared" si="1"/>
        <v>40FT</v>
      </c>
      <c r="E33" s="1">
        <f t="shared" si="2"/>
        <v>3.25</v>
      </c>
      <c r="F33" s="1"/>
      <c r="G33" s="1"/>
    </row>
    <row r="34" spans="1:7" x14ac:dyDescent="0.3">
      <c r="A34" s="1">
        <v>31</v>
      </c>
      <c r="B34" s="1">
        <f t="shared" si="0"/>
        <v>310</v>
      </c>
      <c r="C34" s="1">
        <v>1935.22</v>
      </c>
      <c r="D34" s="1" t="str">
        <f t="shared" si="1"/>
        <v>20FT</v>
      </c>
      <c r="E34" s="1">
        <f t="shared" si="2"/>
        <v>3.25</v>
      </c>
      <c r="F34" s="1"/>
      <c r="G34" s="1"/>
    </row>
    <row r="35" spans="1:7" x14ac:dyDescent="0.3">
      <c r="A35" s="1">
        <v>32</v>
      </c>
      <c r="B35" s="1">
        <f t="shared" si="0"/>
        <v>320</v>
      </c>
      <c r="C35" s="1">
        <v>1938.47</v>
      </c>
      <c r="D35" s="1" t="str">
        <f t="shared" si="1"/>
        <v>40FT</v>
      </c>
      <c r="E35" s="1">
        <f t="shared" si="2"/>
        <v>3.25</v>
      </c>
      <c r="F35" s="1" t="s">
        <v>76</v>
      </c>
      <c r="G35" s="1" t="s">
        <v>75</v>
      </c>
    </row>
    <row r="36" spans="1:7" x14ac:dyDescent="0.3">
      <c r="A36" s="1">
        <v>33</v>
      </c>
      <c r="B36" s="1">
        <f t="shared" ref="B36:B67" si="3">A36*10</f>
        <v>330</v>
      </c>
      <c r="C36" s="1">
        <v>1941.72</v>
      </c>
      <c r="D36" s="1" t="str">
        <f t="shared" ref="D36:D67" si="4">IF(MOD(A36,2)=1,"20FT","40FT")</f>
        <v>20FT</v>
      </c>
      <c r="E36" s="1">
        <f t="shared" ref="E36:E67" si="5">C37-C36</f>
        <v>3.25</v>
      </c>
      <c r="F36" s="1"/>
      <c r="G36" s="1"/>
    </row>
    <row r="37" spans="1:7" x14ac:dyDescent="0.3">
      <c r="A37" s="1">
        <v>34</v>
      </c>
      <c r="B37" s="1">
        <f t="shared" si="3"/>
        <v>340</v>
      </c>
      <c r="C37" s="1">
        <v>1944.97</v>
      </c>
      <c r="D37" s="1" t="str">
        <f t="shared" si="4"/>
        <v>40FT</v>
      </c>
      <c r="E37" s="1">
        <f t="shared" si="5"/>
        <v>3.25</v>
      </c>
      <c r="F37" s="1"/>
      <c r="G37" s="1"/>
    </row>
    <row r="38" spans="1:7" x14ac:dyDescent="0.3">
      <c r="A38" s="1">
        <v>35</v>
      </c>
      <c r="B38" s="1">
        <f t="shared" si="3"/>
        <v>350</v>
      </c>
      <c r="C38" s="1">
        <v>1948.22</v>
      </c>
      <c r="D38" s="1" t="str">
        <f t="shared" si="4"/>
        <v>20FT</v>
      </c>
      <c r="E38" s="1">
        <f t="shared" si="5"/>
        <v>3.25</v>
      </c>
      <c r="F38" s="1"/>
      <c r="G38" s="1"/>
    </row>
    <row r="39" spans="1:7" x14ac:dyDescent="0.3">
      <c r="A39" s="1">
        <v>36</v>
      </c>
      <c r="B39" s="1">
        <f t="shared" si="3"/>
        <v>360</v>
      </c>
      <c r="C39" s="1">
        <v>1951.47</v>
      </c>
      <c r="D39" s="1" t="str">
        <f t="shared" si="4"/>
        <v>40FT</v>
      </c>
      <c r="E39" s="1">
        <f t="shared" si="5"/>
        <v>3.25</v>
      </c>
      <c r="F39" s="1" t="s">
        <v>74</v>
      </c>
      <c r="G39" s="1" t="s">
        <v>73</v>
      </c>
    </row>
    <row r="40" spans="1:7" x14ac:dyDescent="0.3">
      <c r="A40" s="1">
        <v>37</v>
      </c>
      <c r="B40" s="1">
        <f t="shared" si="3"/>
        <v>370</v>
      </c>
      <c r="C40" s="1">
        <v>1954.72</v>
      </c>
      <c r="D40" s="1" t="str">
        <f t="shared" si="4"/>
        <v>20FT</v>
      </c>
      <c r="E40" s="1">
        <f t="shared" si="5"/>
        <v>3.25</v>
      </c>
      <c r="F40" s="1"/>
      <c r="G40" s="1"/>
    </row>
    <row r="41" spans="1:7" x14ac:dyDescent="0.3">
      <c r="A41" s="1">
        <v>38</v>
      </c>
      <c r="B41" s="1">
        <f t="shared" si="3"/>
        <v>380</v>
      </c>
      <c r="C41" s="1">
        <v>1957.97</v>
      </c>
      <c r="D41" s="1" t="str">
        <f t="shared" si="4"/>
        <v>40FT</v>
      </c>
      <c r="E41" s="1">
        <f t="shared" si="5"/>
        <v>3.25</v>
      </c>
      <c r="F41" s="1"/>
      <c r="G41" s="1"/>
    </row>
    <row r="42" spans="1:7" x14ac:dyDescent="0.3">
      <c r="A42" s="1">
        <v>39</v>
      </c>
      <c r="B42" s="1">
        <f t="shared" si="3"/>
        <v>390</v>
      </c>
      <c r="C42" s="1">
        <v>1961.22</v>
      </c>
      <c r="D42" s="1" t="str">
        <f t="shared" si="4"/>
        <v>20FT</v>
      </c>
      <c r="E42" s="1">
        <f t="shared" si="5"/>
        <v>3.25</v>
      </c>
      <c r="F42" s="1"/>
      <c r="G42" s="1"/>
    </row>
    <row r="43" spans="1:7" x14ac:dyDescent="0.3">
      <c r="A43" s="1">
        <v>40</v>
      </c>
      <c r="B43" s="1">
        <f t="shared" si="3"/>
        <v>400</v>
      </c>
      <c r="C43" s="1">
        <v>1964.47</v>
      </c>
      <c r="D43" s="1" t="str">
        <f t="shared" si="4"/>
        <v>40FT</v>
      </c>
      <c r="E43" s="1">
        <f t="shared" si="5"/>
        <v>3.25</v>
      </c>
      <c r="F43" s="1" t="s">
        <v>72</v>
      </c>
      <c r="G43" s="1" t="s">
        <v>71</v>
      </c>
    </row>
    <row r="44" spans="1:7" x14ac:dyDescent="0.3">
      <c r="A44" s="1">
        <v>41</v>
      </c>
      <c r="B44" s="1">
        <f t="shared" si="3"/>
        <v>410</v>
      </c>
      <c r="C44" s="1">
        <v>1967.72</v>
      </c>
      <c r="D44" s="1" t="str">
        <f t="shared" si="4"/>
        <v>20FT</v>
      </c>
      <c r="E44" s="1">
        <f t="shared" si="5"/>
        <v>3.25</v>
      </c>
      <c r="F44" s="1"/>
      <c r="G44" s="1"/>
    </row>
    <row r="45" spans="1:7" x14ac:dyDescent="0.3">
      <c r="A45" s="1">
        <v>42</v>
      </c>
      <c r="B45" s="1">
        <f t="shared" si="3"/>
        <v>420</v>
      </c>
      <c r="C45" s="1">
        <v>1970.97</v>
      </c>
      <c r="D45" s="1" t="str">
        <f t="shared" si="4"/>
        <v>40FT</v>
      </c>
      <c r="E45" s="1">
        <f t="shared" si="5"/>
        <v>3.25</v>
      </c>
      <c r="F45" s="1"/>
      <c r="G45" s="1"/>
    </row>
    <row r="46" spans="1:7" x14ac:dyDescent="0.3">
      <c r="A46" s="1">
        <v>43</v>
      </c>
      <c r="B46" s="1">
        <f t="shared" si="3"/>
        <v>430</v>
      </c>
      <c r="C46" s="1">
        <v>1974.22</v>
      </c>
      <c r="D46" s="1" t="str">
        <f t="shared" si="4"/>
        <v>20FT</v>
      </c>
      <c r="E46" s="1">
        <f t="shared" si="5"/>
        <v>3.25</v>
      </c>
      <c r="F46" s="1"/>
      <c r="G46" s="1"/>
    </row>
    <row r="47" spans="1:7" x14ac:dyDescent="0.3">
      <c r="A47" s="1">
        <v>44</v>
      </c>
      <c r="B47" s="1">
        <f t="shared" si="3"/>
        <v>440</v>
      </c>
      <c r="C47" s="1">
        <v>1977.47</v>
      </c>
      <c r="D47" s="1" t="str">
        <f t="shared" si="4"/>
        <v>40FT</v>
      </c>
      <c r="E47" s="1">
        <f t="shared" si="5"/>
        <v>3.25</v>
      </c>
      <c r="F47" s="1" t="s">
        <v>70</v>
      </c>
      <c r="G47" s="1" t="s">
        <v>69</v>
      </c>
    </row>
    <row r="48" spans="1:7" x14ac:dyDescent="0.3">
      <c r="A48" s="1">
        <v>45</v>
      </c>
      <c r="B48" s="1">
        <f t="shared" si="3"/>
        <v>450</v>
      </c>
      <c r="C48" s="1">
        <v>1980.72</v>
      </c>
      <c r="D48" s="1" t="str">
        <f t="shared" si="4"/>
        <v>20FT</v>
      </c>
      <c r="E48" s="1">
        <f t="shared" si="5"/>
        <v>3.25</v>
      </c>
      <c r="F48" s="1"/>
      <c r="G48" s="1"/>
    </row>
    <row r="49" spans="1:7" x14ac:dyDescent="0.3">
      <c r="A49" s="1">
        <v>46</v>
      </c>
      <c r="B49" s="1">
        <f t="shared" si="3"/>
        <v>460</v>
      </c>
      <c r="C49" s="1">
        <v>1983.97</v>
      </c>
      <c r="D49" s="1" t="str">
        <f t="shared" si="4"/>
        <v>40FT</v>
      </c>
      <c r="E49" s="1">
        <f t="shared" si="5"/>
        <v>3.25</v>
      </c>
      <c r="F49" s="1"/>
      <c r="G49" s="1"/>
    </row>
    <row r="50" spans="1:7" x14ac:dyDescent="0.3">
      <c r="A50" s="1">
        <v>47</v>
      </c>
      <c r="B50" s="1">
        <f t="shared" si="3"/>
        <v>470</v>
      </c>
      <c r="C50" s="1">
        <v>1987.22</v>
      </c>
      <c r="D50" s="1" t="str">
        <f t="shared" si="4"/>
        <v>20FT</v>
      </c>
      <c r="E50" s="1">
        <f t="shared" si="5"/>
        <v>3.25</v>
      </c>
      <c r="F50" s="1"/>
      <c r="G50" s="1"/>
    </row>
    <row r="51" spans="1:7" x14ac:dyDescent="0.3">
      <c r="A51" s="1">
        <v>48</v>
      </c>
      <c r="B51" s="1">
        <f t="shared" si="3"/>
        <v>480</v>
      </c>
      <c r="C51" s="1">
        <v>1990.47</v>
      </c>
      <c r="D51" s="1" t="str">
        <f t="shared" si="4"/>
        <v>40FT</v>
      </c>
      <c r="E51" s="1">
        <f t="shared" si="5"/>
        <v>3.25</v>
      </c>
      <c r="F51" s="1" t="s">
        <v>68</v>
      </c>
      <c r="G51" s="1" t="s">
        <v>67</v>
      </c>
    </row>
    <row r="52" spans="1:7" x14ac:dyDescent="0.3">
      <c r="A52" s="1">
        <v>49</v>
      </c>
      <c r="B52" s="1">
        <f t="shared" si="3"/>
        <v>490</v>
      </c>
      <c r="C52" s="1">
        <v>1993.72</v>
      </c>
      <c r="D52" s="1" t="str">
        <f t="shared" si="4"/>
        <v>20FT</v>
      </c>
      <c r="E52" s="1">
        <f t="shared" si="5"/>
        <v>3.25</v>
      </c>
      <c r="F52" s="1"/>
      <c r="G52" s="1"/>
    </row>
    <row r="53" spans="1:7" x14ac:dyDescent="0.3">
      <c r="A53" s="1">
        <v>50</v>
      </c>
      <c r="B53" s="1">
        <f t="shared" si="3"/>
        <v>500</v>
      </c>
      <c r="C53" s="1">
        <v>1996.97</v>
      </c>
      <c r="D53" s="1" t="str">
        <f t="shared" si="4"/>
        <v>40FT</v>
      </c>
      <c r="E53" s="1">
        <f t="shared" si="5"/>
        <v>3.25</v>
      </c>
      <c r="F53" s="1"/>
      <c r="G53" s="1"/>
    </row>
    <row r="54" spans="1:7" x14ac:dyDescent="0.3">
      <c r="A54" s="1">
        <v>51</v>
      </c>
      <c r="B54" s="1">
        <f t="shared" si="3"/>
        <v>510</v>
      </c>
      <c r="C54" s="1">
        <v>2000.22</v>
      </c>
      <c r="D54" s="1" t="str">
        <f t="shared" si="4"/>
        <v>20FT</v>
      </c>
      <c r="E54" s="1">
        <f t="shared" si="5"/>
        <v>3.25</v>
      </c>
      <c r="F54" s="1"/>
      <c r="G54" s="1"/>
    </row>
    <row r="55" spans="1:7" x14ac:dyDescent="0.3">
      <c r="A55" s="1">
        <v>52</v>
      </c>
      <c r="B55" s="1">
        <f t="shared" si="3"/>
        <v>520</v>
      </c>
      <c r="C55" s="1">
        <v>2003.47</v>
      </c>
      <c r="D55" s="1" t="str">
        <f t="shared" si="4"/>
        <v>40FT</v>
      </c>
      <c r="E55" s="1">
        <f t="shared" si="5"/>
        <v>3.25</v>
      </c>
      <c r="F55" s="1" t="s">
        <v>66</v>
      </c>
      <c r="G55" s="1" t="s">
        <v>65</v>
      </c>
    </row>
    <row r="56" spans="1:7" x14ac:dyDescent="0.3">
      <c r="A56" s="1">
        <v>53</v>
      </c>
      <c r="B56" s="1">
        <f t="shared" si="3"/>
        <v>530</v>
      </c>
      <c r="C56" s="1">
        <v>2006.72</v>
      </c>
      <c r="D56" s="1" t="str">
        <f t="shared" si="4"/>
        <v>20FT</v>
      </c>
      <c r="E56" s="1">
        <f t="shared" si="5"/>
        <v>3.25</v>
      </c>
      <c r="F56" s="1"/>
      <c r="G56" s="1"/>
    </row>
    <row r="57" spans="1:7" x14ac:dyDescent="0.3">
      <c r="A57" s="1">
        <v>54</v>
      </c>
      <c r="B57" s="1">
        <f t="shared" si="3"/>
        <v>540</v>
      </c>
      <c r="C57" s="1">
        <v>2009.97</v>
      </c>
      <c r="D57" s="1" t="str">
        <f t="shared" si="4"/>
        <v>40FT</v>
      </c>
      <c r="E57" s="1">
        <f t="shared" si="5"/>
        <v>3.25</v>
      </c>
      <c r="F57" s="1"/>
      <c r="G57" s="1"/>
    </row>
    <row r="58" spans="1:7" x14ac:dyDescent="0.3">
      <c r="A58" s="1">
        <v>55</v>
      </c>
      <c r="B58" s="1">
        <f t="shared" si="3"/>
        <v>550</v>
      </c>
      <c r="C58" s="1">
        <v>2013.22</v>
      </c>
      <c r="D58" s="1" t="str">
        <f t="shared" si="4"/>
        <v>20FT</v>
      </c>
      <c r="E58" s="1">
        <f t="shared" si="5"/>
        <v>3.25</v>
      </c>
      <c r="F58" s="1"/>
      <c r="G58" s="1"/>
    </row>
    <row r="59" spans="1:7" x14ac:dyDescent="0.3">
      <c r="A59" s="1">
        <v>56</v>
      </c>
      <c r="B59" s="1">
        <f t="shared" si="3"/>
        <v>560</v>
      </c>
      <c r="C59" s="1">
        <v>2016.47</v>
      </c>
      <c r="D59" s="1" t="str">
        <f t="shared" si="4"/>
        <v>40FT</v>
      </c>
      <c r="E59" s="1">
        <f t="shared" si="5"/>
        <v>3.25</v>
      </c>
      <c r="F59" s="1" t="s">
        <v>64</v>
      </c>
      <c r="G59" s="1" t="s">
        <v>63</v>
      </c>
    </row>
    <row r="60" spans="1:7" x14ac:dyDescent="0.3">
      <c r="A60" s="1">
        <v>57</v>
      </c>
      <c r="B60" s="1">
        <f t="shared" si="3"/>
        <v>570</v>
      </c>
      <c r="C60" s="1">
        <v>2019.72</v>
      </c>
      <c r="D60" s="1" t="str">
        <f t="shared" si="4"/>
        <v>20FT</v>
      </c>
      <c r="E60" s="1">
        <f t="shared" si="5"/>
        <v>3.25</v>
      </c>
      <c r="F60" s="1"/>
      <c r="G60" s="1"/>
    </row>
    <row r="61" spans="1:7" x14ac:dyDescent="0.3">
      <c r="A61" s="1">
        <v>58</v>
      </c>
      <c r="B61" s="1">
        <f t="shared" si="3"/>
        <v>580</v>
      </c>
      <c r="C61" s="1">
        <v>2022.97</v>
      </c>
      <c r="D61" s="1" t="str">
        <f t="shared" si="4"/>
        <v>40FT</v>
      </c>
      <c r="E61" s="1">
        <f t="shared" si="5"/>
        <v>3.25</v>
      </c>
      <c r="F61" s="1"/>
      <c r="G61" s="1"/>
    </row>
    <row r="62" spans="1:7" x14ac:dyDescent="0.3">
      <c r="A62" s="1">
        <v>59</v>
      </c>
      <c r="B62" s="1">
        <f t="shared" si="3"/>
        <v>590</v>
      </c>
      <c r="C62" s="1">
        <v>2026.22</v>
      </c>
      <c r="D62" s="1" t="str">
        <f t="shared" si="4"/>
        <v>20FT</v>
      </c>
      <c r="E62" s="1">
        <f t="shared" si="5"/>
        <v>3.25</v>
      </c>
      <c r="F62" s="1"/>
      <c r="G62" s="1"/>
    </row>
    <row r="63" spans="1:7" x14ac:dyDescent="0.3">
      <c r="A63" s="1">
        <v>60</v>
      </c>
      <c r="B63" s="1">
        <f t="shared" si="3"/>
        <v>600</v>
      </c>
      <c r="C63" s="1">
        <v>2029.47</v>
      </c>
      <c r="D63" s="1" t="str">
        <f t="shared" si="4"/>
        <v>40FT</v>
      </c>
      <c r="E63" s="1">
        <f t="shared" si="5"/>
        <v>3.25</v>
      </c>
      <c r="F63" s="1" t="s">
        <v>62</v>
      </c>
      <c r="G63" s="1" t="s">
        <v>61</v>
      </c>
    </row>
    <row r="64" spans="1:7" x14ac:dyDescent="0.3">
      <c r="A64" s="1">
        <v>61</v>
      </c>
      <c r="B64" s="1">
        <f t="shared" si="3"/>
        <v>610</v>
      </c>
      <c r="C64" s="1">
        <v>2032.72</v>
      </c>
      <c r="D64" s="1" t="str">
        <f t="shared" si="4"/>
        <v>20FT</v>
      </c>
      <c r="E64" s="1">
        <f t="shared" si="5"/>
        <v>3.25</v>
      </c>
      <c r="F64" s="1"/>
      <c r="G64" s="1"/>
    </row>
    <row r="65" spans="1:7" x14ac:dyDescent="0.3">
      <c r="A65" s="1">
        <v>62</v>
      </c>
      <c r="B65" s="1">
        <f t="shared" si="3"/>
        <v>620</v>
      </c>
      <c r="C65" s="1">
        <v>2035.97</v>
      </c>
      <c r="D65" s="1" t="str">
        <f t="shared" si="4"/>
        <v>40FT</v>
      </c>
      <c r="E65" s="1">
        <f t="shared" si="5"/>
        <v>3.25</v>
      </c>
      <c r="F65" s="1"/>
      <c r="G65" s="1"/>
    </row>
    <row r="66" spans="1:7" x14ac:dyDescent="0.3">
      <c r="A66" s="1">
        <v>63</v>
      </c>
      <c r="B66" s="1">
        <f t="shared" si="3"/>
        <v>630</v>
      </c>
      <c r="C66" s="1">
        <v>2039.22</v>
      </c>
      <c r="D66" s="1" t="str">
        <f t="shared" si="4"/>
        <v>20FT</v>
      </c>
      <c r="E66" s="1">
        <f t="shared" si="5"/>
        <v>3.25</v>
      </c>
      <c r="F66" s="1"/>
      <c r="G66" s="1"/>
    </row>
    <row r="67" spans="1:7" x14ac:dyDescent="0.3">
      <c r="A67" s="1">
        <v>64</v>
      </c>
      <c r="B67" s="1">
        <f t="shared" si="3"/>
        <v>640</v>
      </c>
      <c r="C67" s="1">
        <v>2042.47</v>
      </c>
      <c r="D67" s="1" t="str">
        <f t="shared" si="4"/>
        <v>40FT</v>
      </c>
      <c r="E67" s="1">
        <f t="shared" si="5"/>
        <v>3.25</v>
      </c>
      <c r="F67" s="1" t="s">
        <v>60</v>
      </c>
      <c r="G67" s="1" t="s">
        <v>59</v>
      </c>
    </row>
    <row r="68" spans="1:7" x14ac:dyDescent="0.3">
      <c r="A68" s="1">
        <v>65</v>
      </c>
      <c r="B68" s="1">
        <f t="shared" ref="B68:B99" si="6">A68*10</f>
        <v>650</v>
      </c>
      <c r="C68" s="1">
        <v>2045.72</v>
      </c>
      <c r="D68" s="1" t="str">
        <f t="shared" ref="D68:D102" si="7">IF(MOD(A68,2)=1,"20FT","40FT")</f>
        <v>20FT</v>
      </c>
      <c r="E68" s="1">
        <f t="shared" ref="E68:E101" si="8">C69-C68</f>
        <v>3.2499999999997726</v>
      </c>
      <c r="F68" s="1"/>
      <c r="G68" s="1"/>
    </row>
    <row r="69" spans="1:7" x14ac:dyDescent="0.3">
      <c r="A69" s="1">
        <v>66</v>
      </c>
      <c r="B69" s="1">
        <f t="shared" si="6"/>
        <v>660</v>
      </c>
      <c r="C69" s="1">
        <v>2048.9699999999998</v>
      </c>
      <c r="D69" s="1" t="str">
        <f t="shared" si="7"/>
        <v>40FT</v>
      </c>
      <c r="E69" s="1">
        <f t="shared" si="8"/>
        <v>3.25</v>
      </c>
      <c r="F69" s="1"/>
      <c r="G69" s="1"/>
    </row>
    <row r="70" spans="1:7" x14ac:dyDescent="0.3">
      <c r="A70" s="1">
        <v>67</v>
      </c>
      <c r="B70" s="1">
        <f t="shared" si="6"/>
        <v>670</v>
      </c>
      <c r="C70" s="1">
        <v>2052.2199999999998</v>
      </c>
      <c r="D70" s="1" t="str">
        <f t="shared" si="7"/>
        <v>20FT</v>
      </c>
      <c r="E70" s="1">
        <f t="shared" si="8"/>
        <v>3.25</v>
      </c>
      <c r="F70" s="1"/>
      <c r="G70" s="1"/>
    </row>
    <row r="71" spans="1:7" x14ac:dyDescent="0.3">
      <c r="A71" s="1">
        <v>68</v>
      </c>
      <c r="B71" s="1">
        <f t="shared" si="6"/>
        <v>680</v>
      </c>
      <c r="C71" s="1">
        <v>2055.4699999999998</v>
      </c>
      <c r="D71" s="1" t="str">
        <f t="shared" si="7"/>
        <v>40FT</v>
      </c>
      <c r="E71" s="1">
        <f t="shared" si="8"/>
        <v>3.25</v>
      </c>
      <c r="F71" s="1" t="s">
        <v>58</v>
      </c>
      <c r="G71" s="1" t="s">
        <v>57</v>
      </c>
    </row>
    <row r="72" spans="1:7" x14ac:dyDescent="0.3">
      <c r="A72" s="1">
        <v>69</v>
      </c>
      <c r="B72" s="1">
        <f t="shared" si="6"/>
        <v>690</v>
      </c>
      <c r="C72" s="1">
        <v>2058.7199999999998</v>
      </c>
      <c r="D72" s="1" t="str">
        <f t="shared" si="7"/>
        <v>20FT</v>
      </c>
      <c r="E72" s="1">
        <f t="shared" si="8"/>
        <v>3.25</v>
      </c>
      <c r="F72" s="1"/>
      <c r="G72" s="1"/>
    </row>
    <row r="73" spans="1:7" x14ac:dyDescent="0.3">
      <c r="A73" s="1">
        <v>70</v>
      </c>
      <c r="B73" s="1">
        <f t="shared" si="6"/>
        <v>700</v>
      </c>
      <c r="C73" s="1">
        <v>2061.9699999999998</v>
      </c>
      <c r="D73" s="1" t="str">
        <f t="shared" si="7"/>
        <v>40FT</v>
      </c>
      <c r="E73" s="1">
        <f t="shared" si="8"/>
        <v>3.25</v>
      </c>
      <c r="F73" s="1"/>
      <c r="G73" s="1"/>
    </row>
    <row r="74" spans="1:7" x14ac:dyDescent="0.3">
      <c r="A74" s="1">
        <v>71</v>
      </c>
      <c r="B74" s="1">
        <f t="shared" si="6"/>
        <v>710</v>
      </c>
      <c r="C74" s="1">
        <v>2065.2199999999998</v>
      </c>
      <c r="D74" s="1" t="str">
        <f t="shared" si="7"/>
        <v>20FT</v>
      </c>
      <c r="E74" s="1">
        <f t="shared" si="8"/>
        <v>3.25</v>
      </c>
      <c r="F74" s="1"/>
      <c r="G74" s="1"/>
    </row>
    <row r="75" spans="1:7" x14ac:dyDescent="0.3">
      <c r="A75" s="1">
        <v>72</v>
      </c>
      <c r="B75" s="1">
        <f t="shared" si="6"/>
        <v>720</v>
      </c>
      <c r="C75" s="1">
        <v>2068.4699999999998</v>
      </c>
      <c r="D75" s="1" t="str">
        <f t="shared" si="7"/>
        <v>40FT</v>
      </c>
      <c r="E75" s="1">
        <f t="shared" si="8"/>
        <v>3.25</v>
      </c>
      <c r="F75" s="1" t="s">
        <v>56</v>
      </c>
      <c r="G75" s="1" t="s">
        <v>55</v>
      </c>
    </row>
    <row r="76" spans="1:7" x14ac:dyDescent="0.3">
      <c r="A76" s="1">
        <v>73</v>
      </c>
      <c r="B76" s="1">
        <f t="shared" si="6"/>
        <v>730</v>
      </c>
      <c r="C76" s="1">
        <v>2071.7199999999998</v>
      </c>
      <c r="D76" s="1" t="str">
        <f t="shared" si="7"/>
        <v>20FT</v>
      </c>
      <c r="E76" s="1">
        <f t="shared" si="8"/>
        <v>3.25</v>
      </c>
      <c r="F76" s="1"/>
      <c r="G76" s="1"/>
    </row>
    <row r="77" spans="1:7" x14ac:dyDescent="0.3">
      <c r="A77" s="1">
        <v>74</v>
      </c>
      <c r="B77" s="1">
        <f t="shared" si="6"/>
        <v>740</v>
      </c>
      <c r="C77" s="1">
        <v>2074.9699999999998</v>
      </c>
      <c r="D77" s="1" t="str">
        <f t="shared" si="7"/>
        <v>40FT</v>
      </c>
      <c r="E77" s="1">
        <f t="shared" si="8"/>
        <v>3.25</v>
      </c>
      <c r="F77" s="1"/>
      <c r="G77" s="1"/>
    </row>
    <row r="78" spans="1:7" x14ac:dyDescent="0.3">
      <c r="A78" s="1">
        <v>75</v>
      </c>
      <c r="B78" s="1">
        <f t="shared" si="6"/>
        <v>750</v>
      </c>
      <c r="C78" s="1">
        <v>2078.2199999999998</v>
      </c>
      <c r="D78" s="1" t="str">
        <f t="shared" si="7"/>
        <v>20FT</v>
      </c>
      <c r="E78" s="1">
        <f t="shared" si="8"/>
        <v>3.25</v>
      </c>
      <c r="F78" s="1"/>
      <c r="G78" s="1"/>
    </row>
    <row r="79" spans="1:7" x14ac:dyDescent="0.3">
      <c r="A79" s="1">
        <v>76</v>
      </c>
      <c r="B79" s="1">
        <f t="shared" si="6"/>
        <v>760</v>
      </c>
      <c r="C79" s="1">
        <v>2081.4699999999998</v>
      </c>
      <c r="D79" s="1" t="str">
        <f t="shared" si="7"/>
        <v>40FT</v>
      </c>
      <c r="E79" s="1">
        <f t="shared" si="8"/>
        <v>3.25</v>
      </c>
      <c r="F79" s="1" t="s">
        <v>54</v>
      </c>
      <c r="G79" s="1" t="s">
        <v>54</v>
      </c>
    </row>
    <row r="80" spans="1:7" x14ac:dyDescent="0.3">
      <c r="A80" s="1">
        <v>77</v>
      </c>
      <c r="B80" s="1">
        <f t="shared" si="6"/>
        <v>770</v>
      </c>
      <c r="C80" s="1">
        <v>2084.7199999999998</v>
      </c>
      <c r="D80" s="1" t="str">
        <f t="shared" si="7"/>
        <v>20FT</v>
      </c>
      <c r="E80" s="1">
        <f t="shared" si="8"/>
        <v>3.25</v>
      </c>
      <c r="F80" s="1"/>
      <c r="G80" s="1"/>
    </row>
    <row r="81" spans="1:7" x14ac:dyDescent="0.3">
      <c r="A81" s="1">
        <v>78</v>
      </c>
      <c r="B81" s="1">
        <f t="shared" si="6"/>
        <v>780</v>
      </c>
      <c r="C81" s="1">
        <v>2087.9699999999998</v>
      </c>
      <c r="D81" s="1" t="str">
        <f t="shared" si="7"/>
        <v>40FT</v>
      </c>
      <c r="E81" s="1">
        <f t="shared" si="8"/>
        <v>3.25</v>
      </c>
      <c r="F81" s="1"/>
      <c r="G81" s="1"/>
    </row>
    <row r="82" spans="1:7" x14ac:dyDescent="0.3">
      <c r="A82" s="1">
        <v>79</v>
      </c>
      <c r="B82" s="1">
        <f t="shared" si="6"/>
        <v>790</v>
      </c>
      <c r="C82" s="1">
        <v>2091.2199999999998</v>
      </c>
      <c r="D82" s="1" t="str">
        <f t="shared" si="7"/>
        <v>20FT</v>
      </c>
      <c r="E82" s="1">
        <f t="shared" si="8"/>
        <v>3.25</v>
      </c>
      <c r="F82" s="1"/>
      <c r="G82" s="1"/>
    </row>
    <row r="83" spans="1:7" x14ac:dyDescent="0.3">
      <c r="A83" s="1">
        <v>80</v>
      </c>
      <c r="B83" s="1">
        <f t="shared" si="6"/>
        <v>800</v>
      </c>
      <c r="C83" s="1">
        <v>2094.4699999999998</v>
      </c>
      <c r="D83" s="1" t="str">
        <f t="shared" si="7"/>
        <v>40FT</v>
      </c>
      <c r="E83" s="1">
        <f t="shared" si="8"/>
        <v>3.25</v>
      </c>
      <c r="F83" s="1" t="s">
        <v>53</v>
      </c>
      <c r="G83" s="1" t="s">
        <v>52</v>
      </c>
    </row>
    <row r="84" spans="1:7" x14ac:dyDescent="0.3">
      <c r="A84" s="1">
        <v>81</v>
      </c>
      <c r="B84" s="1">
        <f t="shared" si="6"/>
        <v>810</v>
      </c>
      <c r="C84" s="1">
        <v>2097.7199999999998</v>
      </c>
      <c r="D84" s="1" t="str">
        <f t="shared" si="7"/>
        <v>20FT</v>
      </c>
      <c r="E84" s="1">
        <f t="shared" si="8"/>
        <v>3.25</v>
      </c>
      <c r="F84" s="1"/>
      <c r="G84" s="1"/>
    </row>
    <row r="85" spans="1:7" x14ac:dyDescent="0.3">
      <c r="A85" s="1">
        <v>82</v>
      </c>
      <c r="B85" s="1">
        <f t="shared" si="6"/>
        <v>820</v>
      </c>
      <c r="C85" s="1">
        <v>2100.9699999999998</v>
      </c>
      <c r="D85" s="1" t="str">
        <f t="shared" si="7"/>
        <v>40FT</v>
      </c>
      <c r="E85" s="1">
        <f t="shared" si="8"/>
        <v>3.25</v>
      </c>
      <c r="F85" s="1"/>
      <c r="G85" s="1"/>
    </row>
    <row r="86" spans="1:7" x14ac:dyDescent="0.3">
      <c r="A86" s="1">
        <v>83</v>
      </c>
      <c r="B86" s="1">
        <f t="shared" si="6"/>
        <v>830</v>
      </c>
      <c r="C86" s="1">
        <v>2104.2199999999998</v>
      </c>
      <c r="D86" s="1" t="str">
        <f t="shared" si="7"/>
        <v>20FT</v>
      </c>
      <c r="E86" s="1">
        <f t="shared" si="8"/>
        <v>3.25</v>
      </c>
      <c r="F86" s="1"/>
      <c r="G86" s="1"/>
    </row>
    <row r="87" spans="1:7" x14ac:dyDescent="0.3">
      <c r="A87" s="1">
        <v>84</v>
      </c>
      <c r="B87" s="1">
        <f t="shared" si="6"/>
        <v>840</v>
      </c>
      <c r="C87" s="1">
        <v>2107.4699999999998</v>
      </c>
      <c r="D87" s="1" t="str">
        <f t="shared" si="7"/>
        <v>40FT</v>
      </c>
      <c r="E87" s="1">
        <f t="shared" si="8"/>
        <v>3.25</v>
      </c>
      <c r="F87" s="1" t="s">
        <v>51</v>
      </c>
      <c r="G87" s="1" t="s">
        <v>50</v>
      </c>
    </row>
    <row r="88" spans="1:7" x14ac:dyDescent="0.3">
      <c r="A88" s="1">
        <v>85</v>
      </c>
      <c r="B88" s="1">
        <f t="shared" si="6"/>
        <v>850</v>
      </c>
      <c r="C88" s="1">
        <v>2110.7199999999998</v>
      </c>
      <c r="D88" s="1" t="str">
        <f t="shared" si="7"/>
        <v>20FT</v>
      </c>
      <c r="E88" s="1">
        <f t="shared" si="8"/>
        <v>3.25</v>
      </c>
      <c r="F88" s="1"/>
      <c r="G88" s="1"/>
    </row>
    <row r="89" spans="1:7" x14ac:dyDescent="0.3">
      <c r="A89" s="1">
        <v>86</v>
      </c>
      <c r="B89" s="1">
        <f t="shared" si="6"/>
        <v>860</v>
      </c>
      <c r="C89" s="1">
        <v>2113.9699999999998</v>
      </c>
      <c r="D89" s="1" t="str">
        <f t="shared" si="7"/>
        <v>40FT</v>
      </c>
      <c r="E89" s="1">
        <f t="shared" si="8"/>
        <v>3.25</v>
      </c>
      <c r="F89" s="1"/>
      <c r="G89" s="1"/>
    </row>
    <row r="90" spans="1:7" x14ac:dyDescent="0.3">
      <c r="A90" s="1">
        <v>87</v>
      </c>
      <c r="B90" s="1">
        <f t="shared" si="6"/>
        <v>870</v>
      </c>
      <c r="C90" s="1">
        <v>2117.2199999999998</v>
      </c>
      <c r="D90" s="1" t="str">
        <f t="shared" si="7"/>
        <v>20FT</v>
      </c>
      <c r="E90" s="1">
        <f t="shared" si="8"/>
        <v>3.25</v>
      </c>
      <c r="F90" s="1"/>
      <c r="G90" s="1"/>
    </row>
    <row r="91" spans="1:7" x14ac:dyDescent="0.3">
      <c r="A91" s="1">
        <v>88</v>
      </c>
      <c r="B91" s="1">
        <f t="shared" si="6"/>
        <v>880</v>
      </c>
      <c r="C91" s="1">
        <v>2120.4699999999998</v>
      </c>
      <c r="D91" s="1" t="str">
        <f t="shared" si="7"/>
        <v>40FT</v>
      </c>
      <c r="E91" s="1">
        <f t="shared" si="8"/>
        <v>3.25</v>
      </c>
      <c r="F91" s="1" t="s">
        <v>49</v>
      </c>
      <c r="G91" s="1" t="s">
        <v>48</v>
      </c>
    </row>
    <row r="92" spans="1:7" x14ac:dyDescent="0.3">
      <c r="A92" s="1">
        <v>89</v>
      </c>
      <c r="B92" s="1">
        <f t="shared" si="6"/>
        <v>890</v>
      </c>
      <c r="C92" s="1">
        <v>2123.7199999999998</v>
      </c>
      <c r="D92" s="1" t="str">
        <f t="shared" si="7"/>
        <v>20FT</v>
      </c>
      <c r="E92" s="1">
        <f t="shared" si="8"/>
        <v>3.25</v>
      </c>
      <c r="F92" s="1"/>
      <c r="G92" s="1"/>
    </row>
    <row r="93" spans="1:7" x14ac:dyDescent="0.3">
      <c r="A93" s="1">
        <v>90</v>
      </c>
      <c r="B93" s="1">
        <f t="shared" si="6"/>
        <v>900</v>
      </c>
      <c r="C93" s="1">
        <v>2126.9699999999998</v>
      </c>
      <c r="D93" s="1" t="str">
        <f t="shared" si="7"/>
        <v>40FT</v>
      </c>
      <c r="E93" s="1">
        <f t="shared" si="8"/>
        <v>3.25</v>
      </c>
      <c r="F93" s="1"/>
      <c r="G93" s="1"/>
    </row>
    <row r="94" spans="1:7" x14ac:dyDescent="0.3">
      <c r="A94" s="1">
        <v>91</v>
      </c>
      <c r="B94" s="1">
        <f t="shared" si="6"/>
        <v>910</v>
      </c>
      <c r="C94" s="1">
        <v>2130.2199999999998</v>
      </c>
      <c r="D94" s="1" t="str">
        <f t="shared" si="7"/>
        <v>20FT</v>
      </c>
      <c r="E94" s="1">
        <f t="shared" si="8"/>
        <v>3.25</v>
      </c>
      <c r="F94" s="1"/>
      <c r="G94" s="1"/>
    </row>
    <row r="95" spans="1:7" x14ac:dyDescent="0.3">
      <c r="A95" s="1">
        <v>92</v>
      </c>
      <c r="B95" s="1">
        <f t="shared" si="6"/>
        <v>920</v>
      </c>
      <c r="C95" s="1">
        <v>2133.4699999999998</v>
      </c>
      <c r="D95" s="1" t="str">
        <f t="shared" si="7"/>
        <v>40FT</v>
      </c>
      <c r="E95" s="1">
        <f t="shared" si="8"/>
        <v>3.25</v>
      </c>
      <c r="F95" s="1" t="s">
        <v>47</v>
      </c>
      <c r="G95" s="1" t="s">
        <v>46</v>
      </c>
    </row>
    <row r="96" spans="1:7" x14ac:dyDescent="0.3">
      <c r="A96" s="1">
        <v>93</v>
      </c>
      <c r="B96" s="1">
        <f t="shared" si="6"/>
        <v>930</v>
      </c>
      <c r="C96" s="1">
        <v>2136.7199999999998</v>
      </c>
      <c r="D96" s="1" t="str">
        <f t="shared" si="7"/>
        <v>20FT</v>
      </c>
      <c r="E96" s="1">
        <f t="shared" si="8"/>
        <v>3.25</v>
      </c>
      <c r="F96" s="1"/>
      <c r="G96" s="1"/>
    </row>
    <row r="97" spans="1:8" x14ac:dyDescent="0.3">
      <c r="A97" s="1">
        <v>94</v>
      </c>
      <c r="B97" s="1">
        <f t="shared" si="6"/>
        <v>940</v>
      </c>
      <c r="C97" s="1">
        <v>2139.9699999999998</v>
      </c>
      <c r="D97" s="1" t="str">
        <f t="shared" si="7"/>
        <v>40FT</v>
      </c>
      <c r="E97" s="1">
        <f t="shared" si="8"/>
        <v>3.25</v>
      </c>
      <c r="F97" s="1"/>
      <c r="G97" s="1"/>
    </row>
    <row r="98" spans="1:8" x14ac:dyDescent="0.3">
      <c r="A98" s="1">
        <v>95</v>
      </c>
      <c r="B98" s="1">
        <f t="shared" si="6"/>
        <v>950</v>
      </c>
      <c r="C98" s="1">
        <v>2143.2199999999998</v>
      </c>
      <c r="D98" s="1" t="str">
        <f t="shared" si="7"/>
        <v>20FT</v>
      </c>
      <c r="E98" s="1">
        <f t="shared" si="8"/>
        <v>3.25</v>
      </c>
      <c r="F98" s="1"/>
      <c r="G98" s="1"/>
    </row>
    <row r="99" spans="1:8" x14ac:dyDescent="0.3">
      <c r="A99" s="1">
        <v>96</v>
      </c>
      <c r="B99" s="1">
        <f t="shared" si="6"/>
        <v>960</v>
      </c>
      <c r="C99" s="1">
        <v>2146.4699999999998</v>
      </c>
      <c r="D99" s="1" t="str">
        <f t="shared" si="7"/>
        <v>40FT</v>
      </c>
      <c r="E99" s="1">
        <f t="shared" si="8"/>
        <v>3.25</v>
      </c>
      <c r="F99" s="1" t="s">
        <v>45</v>
      </c>
      <c r="G99" s="1" t="s">
        <v>44</v>
      </c>
    </row>
    <row r="100" spans="1:8" x14ac:dyDescent="0.3">
      <c r="A100" s="1">
        <v>97</v>
      </c>
      <c r="B100" s="1">
        <f t="shared" ref="B100:B102" si="9">A100*10</f>
        <v>970</v>
      </c>
      <c r="C100" s="1">
        <v>2149.7199999999998</v>
      </c>
      <c r="D100" s="1" t="str">
        <f t="shared" si="7"/>
        <v>20FT</v>
      </c>
      <c r="E100" s="1">
        <f t="shared" si="8"/>
        <v>3.0500000000001819</v>
      </c>
      <c r="F100" s="1"/>
      <c r="G100" s="1"/>
    </row>
    <row r="101" spans="1:8" x14ac:dyDescent="0.3">
      <c r="A101" s="1">
        <v>98</v>
      </c>
      <c r="B101" s="1">
        <f t="shared" si="9"/>
        <v>980</v>
      </c>
      <c r="C101" s="1">
        <f>C100+3.05</f>
        <v>2152.77</v>
      </c>
      <c r="D101" s="1" t="str">
        <f t="shared" si="7"/>
        <v>40FT</v>
      </c>
      <c r="E101" s="1">
        <f t="shared" si="8"/>
        <v>4.5700000000001637</v>
      </c>
      <c r="F101" s="1"/>
      <c r="G101" s="1"/>
    </row>
    <row r="102" spans="1:8" x14ac:dyDescent="0.3">
      <c r="A102" s="1">
        <v>99</v>
      </c>
      <c r="B102" s="1">
        <f t="shared" si="9"/>
        <v>990</v>
      </c>
      <c r="C102" s="1">
        <v>2157.34</v>
      </c>
      <c r="D102" s="1" t="str">
        <f t="shared" si="7"/>
        <v>20FT</v>
      </c>
      <c r="E102" s="1"/>
      <c r="F102" s="1"/>
      <c r="G102" s="1"/>
    </row>
    <row r="103" spans="1:8" x14ac:dyDescent="0.3">
      <c r="A103" s="8"/>
      <c r="B103" s="8"/>
      <c r="C103" s="8"/>
      <c r="D103" s="8"/>
      <c r="E103" s="8"/>
      <c r="F103" s="8" t="s">
        <v>43</v>
      </c>
      <c r="G103" s="8" t="s">
        <v>42</v>
      </c>
      <c r="H103" t="s">
        <v>41</v>
      </c>
    </row>
  </sheetData>
  <mergeCells count="1">
    <mergeCell ref="A1:G1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97"/>
  <sheetViews>
    <sheetView workbookViewId="0">
      <selection activeCell="A2" sqref="A2"/>
    </sheetView>
  </sheetViews>
  <sheetFormatPr defaultRowHeight="16.5" x14ac:dyDescent="0.3"/>
  <cols>
    <col min="1" max="1" width="9.375" bestFit="1" customWidth="1"/>
    <col min="2" max="2" width="7.125" bestFit="1" customWidth="1"/>
    <col min="3" max="3" width="8.5" bestFit="1" customWidth="1"/>
    <col min="4" max="4" width="5.5" bestFit="1" customWidth="1"/>
    <col min="5" max="5" width="9.25" bestFit="1" customWidth="1"/>
    <col min="6" max="6" width="17.25" bestFit="1" customWidth="1"/>
    <col min="7" max="7" width="18.125" bestFit="1" customWidth="1"/>
  </cols>
  <sheetData>
    <row r="1" spans="1:7" ht="26.25" x14ac:dyDescent="0.3">
      <c r="A1" s="17" t="s">
        <v>97</v>
      </c>
      <c r="B1" s="18"/>
      <c r="C1" s="18"/>
      <c r="D1" s="18"/>
      <c r="E1" s="18"/>
      <c r="F1" s="18"/>
      <c r="G1" s="18"/>
    </row>
    <row r="2" spans="1:7" x14ac:dyDescent="0.3">
      <c r="A2" s="11" t="s">
        <v>40</v>
      </c>
      <c r="B2" s="11" t="s">
        <v>2</v>
      </c>
      <c r="C2" s="11" t="s">
        <v>39</v>
      </c>
      <c r="D2" s="11" t="s">
        <v>38</v>
      </c>
      <c r="E2" s="11" t="s">
        <v>37</v>
      </c>
      <c r="F2" s="11" t="s">
        <v>36</v>
      </c>
      <c r="G2" s="11" t="s">
        <v>35</v>
      </c>
    </row>
    <row r="3" spans="1:7" x14ac:dyDescent="0.3">
      <c r="A3" s="1">
        <v>0</v>
      </c>
      <c r="B3" s="1"/>
      <c r="C3" s="1"/>
      <c r="D3" s="1"/>
      <c r="E3" s="1"/>
      <c r="F3" s="1"/>
      <c r="G3" s="1"/>
    </row>
    <row r="4" spans="1:7" x14ac:dyDescent="0.3">
      <c r="A4" s="1">
        <v>1</v>
      </c>
      <c r="B4" s="1">
        <v>10</v>
      </c>
      <c r="C4" s="1">
        <v>1489.23</v>
      </c>
      <c r="D4" s="1" t="str">
        <f t="shared" ref="D4:D35" si="0">IF(MOD(A4,2)=1,"20FT","40FT")</f>
        <v>20FT</v>
      </c>
      <c r="E4" s="1">
        <f t="shared" ref="E4:E35" si="1">C5-C4</f>
        <v>3.25</v>
      </c>
      <c r="F4" s="1"/>
      <c r="G4" s="1"/>
    </row>
    <row r="5" spans="1:7" x14ac:dyDescent="0.3">
      <c r="A5" s="1">
        <v>2</v>
      </c>
      <c r="B5" s="1">
        <v>20</v>
      </c>
      <c r="C5" s="1">
        <v>1492.48</v>
      </c>
      <c r="D5" s="1" t="str">
        <f t="shared" si="0"/>
        <v>40FT</v>
      </c>
      <c r="E5" s="1">
        <f t="shared" si="1"/>
        <v>3.25</v>
      </c>
      <c r="F5" s="1"/>
      <c r="G5" s="1"/>
    </row>
    <row r="6" spans="1:7" x14ac:dyDescent="0.3">
      <c r="A6" s="1">
        <v>3</v>
      </c>
      <c r="B6" s="1">
        <v>30</v>
      </c>
      <c r="C6" s="1">
        <v>1495.73</v>
      </c>
      <c r="D6" s="1" t="str">
        <f t="shared" si="0"/>
        <v>20FT</v>
      </c>
      <c r="E6" s="1">
        <f t="shared" si="1"/>
        <v>3.25</v>
      </c>
      <c r="F6" s="1"/>
      <c r="G6" s="1"/>
    </row>
    <row r="7" spans="1:7" x14ac:dyDescent="0.3">
      <c r="A7" s="1">
        <v>4</v>
      </c>
      <c r="B7" s="1">
        <v>40</v>
      </c>
      <c r="C7" s="1">
        <v>1498.98</v>
      </c>
      <c r="D7" s="1" t="str">
        <f t="shared" si="0"/>
        <v>40FT</v>
      </c>
      <c r="E7" s="1">
        <f t="shared" si="1"/>
        <v>3.25</v>
      </c>
      <c r="F7" s="1"/>
      <c r="G7" s="1"/>
    </row>
    <row r="8" spans="1:7" x14ac:dyDescent="0.3">
      <c r="A8" s="1">
        <v>5</v>
      </c>
      <c r="B8" s="1">
        <v>50</v>
      </c>
      <c r="C8" s="1">
        <v>1502.23</v>
      </c>
      <c r="D8" s="1" t="str">
        <f t="shared" si="0"/>
        <v>20FT</v>
      </c>
      <c r="E8" s="1">
        <f t="shared" si="1"/>
        <v>3.25</v>
      </c>
      <c r="F8" s="1"/>
      <c r="G8" s="1"/>
    </row>
    <row r="9" spans="1:7" x14ac:dyDescent="0.3">
      <c r="A9" s="1">
        <v>6</v>
      </c>
      <c r="B9" s="1">
        <v>60</v>
      </c>
      <c r="C9" s="1">
        <v>1505.48</v>
      </c>
      <c r="D9" s="1" t="str">
        <f t="shared" si="0"/>
        <v>40FT</v>
      </c>
      <c r="E9" s="1">
        <f t="shared" si="1"/>
        <v>3.25</v>
      </c>
      <c r="F9" s="1"/>
      <c r="G9" s="1"/>
    </row>
    <row r="10" spans="1:7" x14ac:dyDescent="0.3">
      <c r="A10" s="1">
        <v>7</v>
      </c>
      <c r="B10" s="1">
        <v>70</v>
      </c>
      <c r="C10" s="1">
        <v>1508.73</v>
      </c>
      <c r="D10" s="1" t="str">
        <f t="shared" si="0"/>
        <v>20FT</v>
      </c>
      <c r="E10" s="1">
        <f t="shared" si="1"/>
        <v>3.25</v>
      </c>
      <c r="F10" s="1"/>
      <c r="G10" s="1"/>
    </row>
    <row r="11" spans="1:7" x14ac:dyDescent="0.3">
      <c r="A11" s="1">
        <v>8</v>
      </c>
      <c r="B11" s="1">
        <v>80</v>
      </c>
      <c r="C11" s="1">
        <v>1511.98</v>
      </c>
      <c r="D11" s="1" t="str">
        <f t="shared" si="0"/>
        <v>40FT</v>
      </c>
      <c r="E11" s="1">
        <f t="shared" si="1"/>
        <v>12.940000000000055</v>
      </c>
      <c r="F11" s="1"/>
      <c r="G11" s="1"/>
    </row>
    <row r="12" spans="1:7" x14ac:dyDescent="0.3">
      <c r="A12" s="1">
        <v>9</v>
      </c>
      <c r="B12" s="1">
        <v>100</v>
      </c>
      <c r="C12" s="1">
        <v>1524.92</v>
      </c>
      <c r="D12" s="1" t="str">
        <f t="shared" si="0"/>
        <v>20FT</v>
      </c>
      <c r="E12" s="1">
        <f t="shared" si="1"/>
        <v>-3.25</v>
      </c>
      <c r="F12" s="1"/>
      <c r="G12" s="1"/>
    </row>
    <row r="13" spans="1:7" x14ac:dyDescent="0.3">
      <c r="A13" s="1">
        <v>10</v>
      </c>
      <c r="B13" s="1">
        <v>110</v>
      </c>
      <c r="C13" s="1">
        <v>1521.67</v>
      </c>
      <c r="D13" s="1" t="str">
        <f t="shared" si="0"/>
        <v>40FT</v>
      </c>
      <c r="E13" s="1">
        <f t="shared" si="1"/>
        <v>9.75</v>
      </c>
      <c r="F13" s="1"/>
      <c r="G13" s="1"/>
    </row>
    <row r="14" spans="1:7" x14ac:dyDescent="0.3">
      <c r="A14" s="1">
        <v>11</v>
      </c>
      <c r="B14" s="1">
        <v>120</v>
      </c>
      <c r="C14" s="1">
        <v>1531.42</v>
      </c>
      <c r="D14" s="1" t="str">
        <f t="shared" si="0"/>
        <v>20FT</v>
      </c>
      <c r="E14" s="1">
        <f t="shared" si="1"/>
        <v>-3.25</v>
      </c>
      <c r="F14" s="1"/>
      <c r="G14" s="1"/>
    </row>
    <row r="15" spans="1:7" x14ac:dyDescent="0.3">
      <c r="A15" s="1">
        <v>12</v>
      </c>
      <c r="B15" s="1">
        <v>130</v>
      </c>
      <c r="C15" s="1">
        <v>1528.17</v>
      </c>
      <c r="D15" s="1" t="str">
        <f t="shared" si="0"/>
        <v>40FT</v>
      </c>
      <c r="E15" s="1">
        <f t="shared" si="1"/>
        <v>9.75</v>
      </c>
      <c r="F15" s="1"/>
      <c r="G15" s="1"/>
    </row>
    <row r="16" spans="1:7" x14ac:dyDescent="0.3">
      <c r="A16" s="1">
        <v>13</v>
      </c>
      <c r="B16" s="1">
        <v>140</v>
      </c>
      <c r="C16" s="1">
        <v>1537.92</v>
      </c>
      <c r="D16" s="1" t="str">
        <f t="shared" si="0"/>
        <v>20FT</v>
      </c>
      <c r="E16" s="1">
        <f t="shared" si="1"/>
        <v>-3.25</v>
      </c>
      <c r="F16" s="1"/>
      <c r="G16" s="1"/>
    </row>
    <row r="17" spans="1:7" x14ac:dyDescent="0.3">
      <c r="A17" s="1">
        <v>14</v>
      </c>
      <c r="B17" s="1">
        <v>150</v>
      </c>
      <c r="C17" s="1">
        <v>1534.67</v>
      </c>
      <c r="D17" s="1" t="str">
        <f t="shared" si="0"/>
        <v>40FT</v>
      </c>
      <c r="E17" s="1">
        <f t="shared" si="1"/>
        <v>9.75</v>
      </c>
      <c r="F17" s="1"/>
      <c r="G17" s="1"/>
    </row>
    <row r="18" spans="1:7" x14ac:dyDescent="0.3">
      <c r="A18" s="1">
        <v>15</v>
      </c>
      <c r="B18" s="1">
        <v>160</v>
      </c>
      <c r="C18" s="1">
        <v>1544.42</v>
      </c>
      <c r="D18" s="1" t="str">
        <f t="shared" si="0"/>
        <v>20FT</v>
      </c>
      <c r="E18" s="1">
        <f t="shared" si="1"/>
        <v>-3.25</v>
      </c>
      <c r="F18" s="1"/>
      <c r="G18" s="1"/>
    </row>
    <row r="19" spans="1:7" x14ac:dyDescent="0.3">
      <c r="A19" s="1">
        <v>16</v>
      </c>
      <c r="B19" s="1">
        <v>170</v>
      </c>
      <c r="C19" s="1">
        <v>1541.17</v>
      </c>
      <c r="D19" s="1" t="str">
        <f t="shared" si="0"/>
        <v>40FT</v>
      </c>
      <c r="E19" s="1">
        <f t="shared" si="1"/>
        <v>9.75</v>
      </c>
      <c r="F19" s="1"/>
      <c r="G19" s="1"/>
    </row>
    <row r="20" spans="1:7" x14ac:dyDescent="0.3">
      <c r="A20" s="1">
        <v>17</v>
      </c>
      <c r="B20" s="1">
        <v>180</v>
      </c>
      <c r="C20" s="1">
        <v>1550.92</v>
      </c>
      <c r="D20" s="1" t="str">
        <f t="shared" si="0"/>
        <v>20FT</v>
      </c>
      <c r="E20" s="1">
        <f t="shared" si="1"/>
        <v>-3.25</v>
      </c>
      <c r="F20" s="1"/>
      <c r="G20" s="1"/>
    </row>
    <row r="21" spans="1:7" x14ac:dyDescent="0.3">
      <c r="A21" s="1">
        <v>18</v>
      </c>
      <c r="B21" s="1">
        <v>190</v>
      </c>
      <c r="C21" s="1">
        <v>1547.67</v>
      </c>
      <c r="D21" s="1" t="str">
        <f t="shared" si="0"/>
        <v>40FT</v>
      </c>
      <c r="E21" s="1">
        <f t="shared" si="1"/>
        <v>15.919999999999845</v>
      </c>
      <c r="F21" s="1"/>
      <c r="G21" s="1"/>
    </row>
    <row r="22" spans="1:7" x14ac:dyDescent="0.3">
      <c r="A22" s="1">
        <v>19</v>
      </c>
      <c r="B22" s="1">
        <v>200</v>
      </c>
      <c r="C22" s="1">
        <v>1563.59</v>
      </c>
      <c r="D22" s="1" t="str">
        <f t="shared" si="0"/>
        <v>20FT</v>
      </c>
      <c r="E22" s="1">
        <f t="shared" si="1"/>
        <v>6.5</v>
      </c>
      <c r="F22" s="1"/>
      <c r="G22" s="1"/>
    </row>
    <row r="23" spans="1:7" x14ac:dyDescent="0.3">
      <c r="A23" s="1">
        <v>20</v>
      </c>
      <c r="B23" s="1">
        <v>220</v>
      </c>
      <c r="C23" s="1">
        <v>1570.09</v>
      </c>
      <c r="D23" s="1" t="str">
        <f t="shared" si="0"/>
        <v>40FT</v>
      </c>
      <c r="E23" s="1">
        <f t="shared" si="1"/>
        <v>-9.75</v>
      </c>
      <c r="F23" s="1"/>
      <c r="G23" s="1"/>
    </row>
    <row r="24" spans="1:7" x14ac:dyDescent="0.3">
      <c r="A24" s="1">
        <v>21</v>
      </c>
      <c r="B24" s="1">
        <v>230</v>
      </c>
      <c r="C24" s="1">
        <v>1560.34</v>
      </c>
      <c r="D24" s="1" t="str">
        <f t="shared" si="0"/>
        <v>20FT</v>
      </c>
      <c r="E24" s="1">
        <f t="shared" si="1"/>
        <v>16.25</v>
      </c>
      <c r="F24" s="1"/>
      <c r="G24" s="1"/>
    </row>
    <row r="25" spans="1:7" x14ac:dyDescent="0.3">
      <c r="A25" s="1">
        <v>22</v>
      </c>
      <c r="B25" s="1">
        <v>240</v>
      </c>
      <c r="C25" s="1">
        <v>1576.59</v>
      </c>
      <c r="D25" s="1" t="str">
        <f t="shared" si="0"/>
        <v>40FT</v>
      </c>
      <c r="E25" s="1">
        <f t="shared" si="1"/>
        <v>-9.75</v>
      </c>
      <c r="F25" s="1"/>
      <c r="G25" s="1"/>
    </row>
    <row r="26" spans="1:7" x14ac:dyDescent="0.3">
      <c r="A26" s="1">
        <v>23</v>
      </c>
      <c r="B26" s="1">
        <v>250</v>
      </c>
      <c r="C26" s="1">
        <v>1566.84</v>
      </c>
      <c r="D26" s="1" t="str">
        <f t="shared" si="0"/>
        <v>20FT</v>
      </c>
      <c r="E26" s="1">
        <f t="shared" si="1"/>
        <v>16.25</v>
      </c>
      <c r="F26" s="1"/>
      <c r="G26" s="1"/>
    </row>
    <row r="27" spans="1:7" x14ac:dyDescent="0.3">
      <c r="A27" s="1">
        <v>24</v>
      </c>
      <c r="B27" s="1">
        <v>260</v>
      </c>
      <c r="C27" s="1">
        <v>1583.09</v>
      </c>
      <c r="D27" s="1" t="str">
        <f t="shared" si="0"/>
        <v>40FT</v>
      </c>
      <c r="E27" s="1">
        <f t="shared" si="1"/>
        <v>-9.75</v>
      </c>
      <c r="F27" s="1"/>
      <c r="G27" s="1"/>
    </row>
    <row r="28" spans="1:7" x14ac:dyDescent="0.3">
      <c r="A28" s="1">
        <v>25</v>
      </c>
      <c r="B28" s="1">
        <v>270</v>
      </c>
      <c r="C28" s="1">
        <v>1573.34</v>
      </c>
      <c r="D28" s="1" t="str">
        <f t="shared" si="0"/>
        <v>20FT</v>
      </c>
      <c r="E28" s="1">
        <f t="shared" si="1"/>
        <v>16.25</v>
      </c>
      <c r="F28" s="1"/>
      <c r="G28" s="1"/>
    </row>
    <row r="29" spans="1:7" x14ac:dyDescent="0.3">
      <c r="A29" s="1">
        <v>26</v>
      </c>
      <c r="B29" s="1">
        <v>280</v>
      </c>
      <c r="C29" s="1">
        <v>1589.59</v>
      </c>
      <c r="D29" s="1" t="str">
        <f t="shared" si="0"/>
        <v>40FT</v>
      </c>
      <c r="E29" s="1">
        <f t="shared" si="1"/>
        <v>-9.75</v>
      </c>
      <c r="F29" s="1"/>
      <c r="G29" s="1"/>
    </row>
    <row r="30" spans="1:7" x14ac:dyDescent="0.3">
      <c r="A30" s="1">
        <v>27</v>
      </c>
      <c r="B30" s="1">
        <v>290</v>
      </c>
      <c r="C30" s="1">
        <v>1579.84</v>
      </c>
      <c r="D30" s="1" t="str">
        <f t="shared" si="0"/>
        <v>20FT</v>
      </c>
      <c r="E30" s="1">
        <f t="shared" si="1"/>
        <v>16.25</v>
      </c>
      <c r="F30" s="1"/>
      <c r="G30" s="1"/>
    </row>
    <row r="31" spans="1:7" x14ac:dyDescent="0.3">
      <c r="A31" s="1">
        <v>28</v>
      </c>
      <c r="B31" s="1">
        <v>300</v>
      </c>
      <c r="C31" s="1">
        <v>1596.09</v>
      </c>
      <c r="D31" s="1" t="str">
        <f t="shared" si="0"/>
        <v>40FT</v>
      </c>
      <c r="E31" s="1">
        <f t="shared" si="1"/>
        <v>-9.75</v>
      </c>
      <c r="F31" s="1"/>
      <c r="G31" s="1"/>
    </row>
    <row r="32" spans="1:7" x14ac:dyDescent="0.3">
      <c r="A32" s="1">
        <v>29</v>
      </c>
      <c r="B32" s="1">
        <v>310</v>
      </c>
      <c r="C32" s="1">
        <v>1586.34</v>
      </c>
      <c r="D32" s="1" t="str">
        <f t="shared" si="0"/>
        <v>20FT</v>
      </c>
      <c r="E32" s="1">
        <f t="shared" si="1"/>
        <v>16.25</v>
      </c>
      <c r="F32" s="1"/>
      <c r="G32" s="1"/>
    </row>
    <row r="33" spans="1:7" x14ac:dyDescent="0.3">
      <c r="A33" s="1">
        <v>30</v>
      </c>
      <c r="B33" s="1">
        <v>320</v>
      </c>
      <c r="C33" s="1">
        <v>1602.59</v>
      </c>
      <c r="D33" s="1" t="str">
        <f t="shared" si="0"/>
        <v>40FT</v>
      </c>
      <c r="E33" s="1">
        <f t="shared" si="1"/>
        <v>-9.75</v>
      </c>
      <c r="F33" s="1"/>
      <c r="G33" s="1"/>
    </row>
    <row r="34" spans="1:7" x14ac:dyDescent="0.3">
      <c r="A34" s="1">
        <v>31</v>
      </c>
      <c r="B34" s="1">
        <v>330</v>
      </c>
      <c r="C34" s="1">
        <v>1592.84</v>
      </c>
      <c r="D34" s="1" t="str">
        <f t="shared" si="0"/>
        <v>20FT</v>
      </c>
      <c r="E34" s="1">
        <f t="shared" si="1"/>
        <v>16.25</v>
      </c>
      <c r="F34" s="1"/>
      <c r="G34" s="1"/>
    </row>
    <row r="35" spans="1:7" x14ac:dyDescent="0.3">
      <c r="A35" s="1">
        <v>32</v>
      </c>
      <c r="B35" s="1">
        <v>340</v>
      </c>
      <c r="C35" s="1">
        <v>1609.09</v>
      </c>
      <c r="D35" s="1" t="str">
        <f t="shared" si="0"/>
        <v>40FT</v>
      </c>
      <c r="E35" s="1">
        <f t="shared" si="1"/>
        <v>-9.75</v>
      </c>
      <c r="F35" s="1"/>
      <c r="G35" s="1"/>
    </row>
    <row r="36" spans="1:7" x14ac:dyDescent="0.3">
      <c r="A36" s="1">
        <v>33</v>
      </c>
      <c r="B36" s="1">
        <v>350</v>
      </c>
      <c r="C36" s="1">
        <v>1599.34</v>
      </c>
      <c r="D36" s="1" t="str">
        <f t="shared" ref="D36:D67" si="2">IF(MOD(A36,2)=1,"20FT","40FT")</f>
        <v>20FT</v>
      </c>
      <c r="E36" s="1">
        <f t="shared" ref="E36:E67" si="3">C37-C36</f>
        <v>22.779999999999973</v>
      </c>
      <c r="F36" s="1"/>
      <c r="G36" s="1"/>
    </row>
    <row r="37" spans="1:7" x14ac:dyDescent="0.3">
      <c r="A37" s="1">
        <v>34</v>
      </c>
      <c r="B37" s="1">
        <v>360</v>
      </c>
      <c r="C37" s="1">
        <v>1622.12</v>
      </c>
      <c r="D37" s="1" t="str">
        <f t="shared" si="2"/>
        <v>40FT</v>
      </c>
      <c r="E37" s="1">
        <f t="shared" si="3"/>
        <v>-16.279999999999973</v>
      </c>
      <c r="F37" s="1"/>
      <c r="G37" s="1"/>
    </row>
    <row r="38" spans="1:7" x14ac:dyDescent="0.3">
      <c r="A38" s="1">
        <v>35</v>
      </c>
      <c r="B38" s="1">
        <v>370</v>
      </c>
      <c r="C38" s="1">
        <v>1605.84</v>
      </c>
      <c r="D38" s="1" t="str">
        <f t="shared" si="2"/>
        <v>20FT</v>
      </c>
      <c r="E38" s="1">
        <f t="shared" si="3"/>
        <v>22.779999999999973</v>
      </c>
      <c r="F38" s="1"/>
      <c r="G38" s="1"/>
    </row>
    <row r="39" spans="1:7" x14ac:dyDescent="0.3">
      <c r="A39" s="1">
        <v>36</v>
      </c>
      <c r="B39" s="1">
        <v>380</v>
      </c>
      <c r="C39" s="1">
        <v>1628.62</v>
      </c>
      <c r="D39" s="1" t="str">
        <f t="shared" si="2"/>
        <v>40FT</v>
      </c>
      <c r="E39" s="1">
        <f t="shared" si="3"/>
        <v>6.5</v>
      </c>
      <c r="F39" s="1"/>
      <c r="G39" s="1"/>
    </row>
    <row r="40" spans="1:7" x14ac:dyDescent="0.3">
      <c r="A40" s="1">
        <v>37</v>
      </c>
      <c r="B40" s="1">
        <v>400</v>
      </c>
      <c r="C40" s="1">
        <v>1635.12</v>
      </c>
      <c r="D40" s="1" t="str">
        <f t="shared" si="2"/>
        <v>20FT</v>
      </c>
      <c r="E40" s="1">
        <f t="shared" si="3"/>
        <v>-16.25</v>
      </c>
      <c r="F40" s="1"/>
      <c r="G40" s="1"/>
    </row>
    <row r="41" spans="1:7" x14ac:dyDescent="0.3">
      <c r="A41" s="1">
        <v>38</v>
      </c>
      <c r="B41" s="1">
        <v>410</v>
      </c>
      <c r="C41" s="1">
        <v>1618.87</v>
      </c>
      <c r="D41" s="1" t="str">
        <f t="shared" si="2"/>
        <v>40FT</v>
      </c>
      <c r="E41" s="1">
        <f t="shared" si="3"/>
        <v>22.75</v>
      </c>
      <c r="F41" s="1"/>
      <c r="G41" s="1"/>
    </row>
    <row r="42" spans="1:7" x14ac:dyDescent="0.3">
      <c r="A42" s="1">
        <v>39</v>
      </c>
      <c r="B42" s="1">
        <v>420</v>
      </c>
      <c r="C42" s="1">
        <v>1641.62</v>
      </c>
      <c r="D42" s="1" t="str">
        <f t="shared" si="2"/>
        <v>20FT</v>
      </c>
      <c r="E42" s="1">
        <f t="shared" si="3"/>
        <v>-16.25</v>
      </c>
      <c r="F42" s="1"/>
      <c r="G42" s="1"/>
    </row>
    <row r="43" spans="1:7" x14ac:dyDescent="0.3">
      <c r="A43" s="1">
        <v>40</v>
      </c>
      <c r="B43" s="1">
        <v>430</v>
      </c>
      <c r="C43" s="1">
        <v>1625.37</v>
      </c>
      <c r="D43" s="1" t="str">
        <f t="shared" si="2"/>
        <v>40FT</v>
      </c>
      <c r="E43" s="1">
        <f t="shared" si="3"/>
        <v>22.75</v>
      </c>
      <c r="F43" s="1"/>
      <c r="G43" s="1"/>
    </row>
    <row r="44" spans="1:7" x14ac:dyDescent="0.3">
      <c r="A44" s="1">
        <v>41</v>
      </c>
      <c r="B44" s="1">
        <v>440</v>
      </c>
      <c r="C44" s="1">
        <v>1648.12</v>
      </c>
      <c r="D44" s="1" t="str">
        <f t="shared" si="2"/>
        <v>20FT</v>
      </c>
      <c r="E44" s="1">
        <f t="shared" si="3"/>
        <v>-16.25</v>
      </c>
      <c r="F44" s="1"/>
      <c r="G44" s="1"/>
    </row>
    <row r="45" spans="1:7" x14ac:dyDescent="0.3">
      <c r="A45" s="1">
        <v>42</v>
      </c>
      <c r="B45" s="1">
        <v>450</v>
      </c>
      <c r="C45" s="1">
        <v>1631.87</v>
      </c>
      <c r="D45" s="1" t="str">
        <f t="shared" si="2"/>
        <v>40FT</v>
      </c>
      <c r="E45" s="1">
        <f t="shared" si="3"/>
        <v>29.210000000000036</v>
      </c>
      <c r="F45" s="1"/>
      <c r="G45" s="1"/>
    </row>
    <row r="46" spans="1:7" x14ac:dyDescent="0.3">
      <c r="A46" s="1">
        <v>43</v>
      </c>
      <c r="B46" s="1">
        <v>460</v>
      </c>
      <c r="C46" s="1">
        <v>1661.08</v>
      </c>
      <c r="D46" s="1" t="str">
        <f t="shared" si="2"/>
        <v>20FT</v>
      </c>
      <c r="E46" s="1">
        <f t="shared" si="3"/>
        <v>-22.710000000000036</v>
      </c>
      <c r="F46" s="1"/>
      <c r="G46" s="1"/>
    </row>
    <row r="47" spans="1:7" x14ac:dyDescent="0.3">
      <c r="A47" s="1">
        <v>44</v>
      </c>
      <c r="B47" s="1">
        <v>470</v>
      </c>
      <c r="C47" s="1">
        <v>1638.37</v>
      </c>
      <c r="D47" s="1" t="str">
        <f t="shared" si="2"/>
        <v>40FT</v>
      </c>
      <c r="E47" s="1">
        <f t="shared" si="3"/>
        <v>29.210000000000036</v>
      </c>
      <c r="F47" s="1"/>
      <c r="G47" s="1"/>
    </row>
    <row r="48" spans="1:7" x14ac:dyDescent="0.3">
      <c r="A48" s="1">
        <v>45</v>
      </c>
      <c r="B48" s="1">
        <v>480</v>
      </c>
      <c r="C48" s="1">
        <v>1667.58</v>
      </c>
      <c r="D48" s="1" t="str">
        <f t="shared" si="2"/>
        <v>20FT</v>
      </c>
      <c r="E48" s="1">
        <f t="shared" si="3"/>
        <v>-22.710000000000036</v>
      </c>
      <c r="F48" s="1"/>
      <c r="G48" s="1"/>
    </row>
    <row r="49" spans="1:7" x14ac:dyDescent="0.3">
      <c r="A49" s="1">
        <v>46</v>
      </c>
      <c r="B49" s="1">
        <v>490</v>
      </c>
      <c r="C49" s="1">
        <v>1644.87</v>
      </c>
      <c r="D49" s="1" t="str">
        <f t="shared" si="2"/>
        <v>40FT</v>
      </c>
      <c r="E49" s="1">
        <f t="shared" si="3"/>
        <v>29.210000000000036</v>
      </c>
      <c r="F49" s="1"/>
      <c r="G49" s="1"/>
    </row>
    <row r="50" spans="1:7" x14ac:dyDescent="0.3">
      <c r="A50" s="1">
        <v>47</v>
      </c>
      <c r="B50" s="1">
        <v>500</v>
      </c>
      <c r="C50" s="1">
        <v>1674.08</v>
      </c>
      <c r="D50" s="1" t="str">
        <f t="shared" si="2"/>
        <v>20FT</v>
      </c>
      <c r="E50" s="1">
        <f t="shared" si="3"/>
        <v>6.5</v>
      </c>
      <c r="F50" s="1"/>
      <c r="G50" s="1"/>
    </row>
    <row r="51" spans="1:7" x14ac:dyDescent="0.3">
      <c r="A51" s="1">
        <v>48</v>
      </c>
      <c r="B51" s="1">
        <v>520</v>
      </c>
      <c r="C51" s="1">
        <v>1680.58</v>
      </c>
      <c r="D51" s="1" t="str">
        <f t="shared" si="2"/>
        <v>40FT</v>
      </c>
      <c r="E51" s="1">
        <f t="shared" si="3"/>
        <v>-22.75</v>
      </c>
      <c r="F51" s="1"/>
      <c r="G51" s="1"/>
    </row>
    <row r="52" spans="1:7" x14ac:dyDescent="0.3">
      <c r="A52" s="1">
        <v>49</v>
      </c>
      <c r="B52" s="1">
        <v>530</v>
      </c>
      <c r="C52" s="1">
        <v>1657.83</v>
      </c>
      <c r="D52" s="1" t="str">
        <f t="shared" si="2"/>
        <v>20FT</v>
      </c>
      <c r="E52" s="1">
        <f t="shared" si="3"/>
        <v>29.25</v>
      </c>
      <c r="F52" s="1"/>
      <c r="G52" s="1"/>
    </row>
    <row r="53" spans="1:7" x14ac:dyDescent="0.3">
      <c r="A53" s="1">
        <v>50</v>
      </c>
      <c r="B53" s="1">
        <v>540</v>
      </c>
      <c r="C53" s="1">
        <v>1687.08</v>
      </c>
      <c r="D53" s="1" t="str">
        <f t="shared" si="2"/>
        <v>40FT</v>
      </c>
      <c r="E53" s="1">
        <f t="shared" si="3"/>
        <v>-22.75</v>
      </c>
      <c r="F53" s="1"/>
      <c r="G53" s="1"/>
    </row>
    <row r="54" spans="1:7" x14ac:dyDescent="0.3">
      <c r="A54" s="1">
        <v>51</v>
      </c>
      <c r="B54" s="1">
        <v>550</v>
      </c>
      <c r="C54" s="1">
        <v>1664.33</v>
      </c>
      <c r="D54" s="1" t="str">
        <f t="shared" si="2"/>
        <v>20FT</v>
      </c>
      <c r="E54" s="1">
        <f t="shared" si="3"/>
        <v>35.779999999999973</v>
      </c>
      <c r="F54" s="1"/>
      <c r="G54" s="1"/>
    </row>
    <row r="55" spans="1:7" x14ac:dyDescent="0.3">
      <c r="A55" s="1">
        <v>52</v>
      </c>
      <c r="B55" s="1">
        <v>560</v>
      </c>
      <c r="C55" s="1">
        <v>1700.11</v>
      </c>
      <c r="D55" s="1" t="str">
        <f t="shared" si="2"/>
        <v>40FT</v>
      </c>
      <c r="E55" s="1">
        <f t="shared" si="3"/>
        <v>-29.279999999999973</v>
      </c>
      <c r="F55" s="1"/>
      <c r="G55" s="1"/>
    </row>
    <row r="56" spans="1:7" x14ac:dyDescent="0.3">
      <c r="A56" s="1">
        <v>53</v>
      </c>
      <c r="B56" s="1">
        <v>570</v>
      </c>
      <c r="C56" s="1">
        <v>1670.83</v>
      </c>
      <c r="D56" s="1" t="str">
        <f t="shared" si="2"/>
        <v>20FT</v>
      </c>
      <c r="E56" s="1">
        <f t="shared" si="3"/>
        <v>35.779999999999973</v>
      </c>
      <c r="F56" s="1"/>
      <c r="G56" s="1"/>
    </row>
    <row r="57" spans="1:7" x14ac:dyDescent="0.3">
      <c r="A57" s="1">
        <v>54</v>
      </c>
      <c r="B57" s="1">
        <v>580</v>
      </c>
      <c r="C57" s="1">
        <v>1706.61</v>
      </c>
      <c r="D57" s="1" t="str">
        <f t="shared" si="2"/>
        <v>40FT</v>
      </c>
      <c r="E57" s="1">
        <f t="shared" si="3"/>
        <v>-29.279999999999973</v>
      </c>
      <c r="F57" s="1"/>
      <c r="G57" s="1"/>
    </row>
    <row r="58" spans="1:7" x14ac:dyDescent="0.3">
      <c r="A58" s="1">
        <v>55</v>
      </c>
      <c r="B58" s="1">
        <v>590</v>
      </c>
      <c r="C58" s="1">
        <v>1677.33</v>
      </c>
      <c r="D58" s="1" t="str">
        <f t="shared" si="2"/>
        <v>20FT</v>
      </c>
      <c r="E58" s="1">
        <f t="shared" si="3"/>
        <v>35.779999999999973</v>
      </c>
      <c r="F58" s="1"/>
      <c r="G58" s="1"/>
    </row>
    <row r="59" spans="1:7" x14ac:dyDescent="0.3">
      <c r="A59" s="1">
        <v>56</v>
      </c>
      <c r="B59" s="1">
        <v>600</v>
      </c>
      <c r="C59" s="1">
        <v>1713.11</v>
      </c>
      <c r="D59" s="1" t="str">
        <f t="shared" si="2"/>
        <v>40FT</v>
      </c>
      <c r="E59" s="1">
        <f t="shared" si="3"/>
        <v>-29.279999999999973</v>
      </c>
      <c r="F59" s="1"/>
      <c r="G59" s="1"/>
    </row>
    <row r="60" spans="1:7" x14ac:dyDescent="0.3">
      <c r="A60" s="1">
        <v>57</v>
      </c>
      <c r="B60" s="1">
        <v>610</v>
      </c>
      <c r="C60" s="1">
        <v>1683.83</v>
      </c>
      <c r="D60" s="1" t="str">
        <f t="shared" si="2"/>
        <v>20FT</v>
      </c>
      <c r="E60" s="1">
        <f t="shared" si="3"/>
        <v>35.880000000000109</v>
      </c>
      <c r="F60" s="1"/>
      <c r="G60" s="1"/>
    </row>
    <row r="61" spans="1:7" x14ac:dyDescent="0.3">
      <c r="A61" s="1">
        <v>58</v>
      </c>
      <c r="B61" s="1">
        <v>620</v>
      </c>
      <c r="C61" s="1">
        <v>1719.71</v>
      </c>
      <c r="D61" s="1" t="str">
        <f t="shared" si="2"/>
        <v>40FT</v>
      </c>
      <c r="E61" s="1">
        <f t="shared" si="3"/>
        <v>6.5</v>
      </c>
      <c r="F61" s="1"/>
      <c r="G61" s="1"/>
    </row>
    <row r="62" spans="1:7" x14ac:dyDescent="0.3">
      <c r="A62" s="1">
        <v>59</v>
      </c>
      <c r="B62" s="1">
        <v>640</v>
      </c>
      <c r="C62" s="1">
        <v>1726.21</v>
      </c>
      <c r="D62" s="1" t="str">
        <f t="shared" si="2"/>
        <v>20FT</v>
      </c>
      <c r="E62" s="1">
        <f t="shared" si="3"/>
        <v>-29.350000000000136</v>
      </c>
      <c r="F62" s="1"/>
      <c r="G62" s="1"/>
    </row>
    <row r="63" spans="1:7" x14ac:dyDescent="0.3">
      <c r="A63" s="1">
        <v>60</v>
      </c>
      <c r="B63" s="1">
        <v>650</v>
      </c>
      <c r="C63" s="1">
        <v>1696.86</v>
      </c>
      <c r="D63" s="1" t="str">
        <f t="shared" si="2"/>
        <v>40FT</v>
      </c>
      <c r="E63" s="1">
        <f t="shared" si="3"/>
        <v>35.850000000000136</v>
      </c>
      <c r="F63" s="1"/>
      <c r="G63" s="1"/>
    </row>
    <row r="64" spans="1:7" x14ac:dyDescent="0.3">
      <c r="A64" s="1">
        <v>61</v>
      </c>
      <c r="B64" s="1">
        <v>660</v>
      </c>
      <c r="C64" s="1">
        <v>1732.71</v>
      </c>
      <c r="D64" s="1" t="str">
        <f t="shared" si="2"/>
        <v>20FT</v>
      </c>
      <c r="E64" s="1">
        <f t="shared" si="3"/>
        <v>-29.350000000000136</v>
      </c>
      <c r="F64" s="1"/>
      <c r="G64" s="1"/>
    </row>
    <row r="65" spans="1:7" x14ac:dyDescent="0.3">
      <c r="A65" s="1">
        <v>62</v>
      </c>
      <c r="B65" s="1">
        <v>670</v>
      </c>
      <c r="C65" s="1">
        <v>1703.36</v>
      </c>
      <c r="D65" s="1" t="str">
        <f t="shared" si="2"/>
        <v>40FT</v>
      </c>
      <c r="E65" s="1">
        <f t="shared" si="3"/>
        <v>35.850000000000136</v>
      </c>
      <c r="F65" s="1"/>
      <c r="G65" s="1"/>
    </row>
    <row r="66" spans="1:7" x14ac:dyDescent="0.3">
      <c r="A66" s="1">
        <v>63</v>
      </c>
      <c r="B66" s="1">
        <v>680</v>
      </c>
      <c r="C66" s="1">
        <v>1739.21</v>
      </c>
      <c r="D66" s="1" t="str">
        <f t="shared" si="2"/>
        <v>20FT</v>
      </c>
      <c r="E66" s="1">
        <f t="shared" si="3"/>
        <v>-29.350000000000136</v>
      </c>
      <c r="F66" s="1"/>
      <c r="G66" s="1"/>
    </row>
    <row r="67" spans="1:7" x14ac:dyDescent="0.3">
      <c r="A67" s="1">
        <v>64</v>
      </c>
      <c r="B67" s="1">
        <v>690</v>
      </c>
      <c r="C67" s="1">
        <v>1709.86</v>
      </c>
      <c r="D67" s="1" t="str">
        <f t="shared" si="2"/>
        <v>40FT</v>
      </c>
      <c r="E67" s="1">
        <f t="shared" si="3"/>
        <v>35.850000000000136</v>
      </c>
      <c r="F67" s="1"/>
      <c r="G67" s="1"/>
    </row>
    <row r="68" spans="1:7" x14ac:dyDescent="0.3">
      <c r="A68" s="1">
        <v>65</v>
      </c>
      <c r="B68" s="1">
        <v>700</v>
      </c>
      <c r="C68" s="1">
        <v>1745.71</v>
      </c>
      <c r="D68" s="1" t="str">
        <f t="shared" ref="D68:D97" si="4">IF(MOD(A68,2)=1,"20FT","40FT")</f>
        <v>20FT</v>
      </c>
      <c r="E68" s="1">
        <f t="shared" ref="E68:E97" si="5">C69-C68</f>
        <v>-29.25</v>
      </c>
      <c r="F68" s="1"/>
      <c r="G68" s="1"/>
    </row>
    <row r="69" spans="1:7" x14ac:dyDescent="0.3">
      <c r="A69" s="1">
        <v>66</v>
      </c>
      <c r="B69" s="1">
        <v>710</v>
      </c>
      <c r="C69" s="1">
        <v>1716.46</v>
      </c>
      <c r="D69" s="1" t="str">
        <f t="shared" si="4"/>
        <v>40FT</v>
      </c>
      <c r="E69" s="1">
        <f t="shared" si="5"/>
        <v>35.75</v>
      </c>
      <c r="F69" s="1"/>
      <c r="G69" s="1"/>
    </row>
    <row r="70" spans="1:7" x14ac:dyDescent="0.3">
      <c r="A70" s="1">
        <v>67</v>
      </c>
      <c r="B70" s="1">
        <v>720</v>
      </c>
      <c r="C70" s="1">
        <v>1752.21</v>
      </c>
      <c r="D70" s="1" t="str">
        <f t="shared" si="4"/>
        <v>20FT</v>
      </c>
      <c r="E70" s="1">
        <f t="shared" si="5"/>
        <v>-29.25</v>
      </c>
      <c r="F70" s="1"/>
      <c r="G70" s="1"/>
    </row>
    <row r="71" spans="1:7" x14ac:dyDescent="0.3">
      <c r="A71" s="1">
        <v>68</v>
      </c>
      <c r="B71" s="1">
        <v>730</v>
      </c>
      <c r="C71" s="1">
        <v>1722.96</v>
      </c>
      <c r="D71" s="1" t="str">
        <f t="shared" si="4"/>
        <v>40FT</v>
      </c>
      <c r="E71" s="1">
        <f t="shared" si="5"/>
        <v>35.75</v>
      </c>
      <c r="F71" s="1"/>
      <c r="G71" s="1"/>
    </row>
    <row r="72" spans="1:7" x14ac:dyDescent="0.3">
      <c r="A72" s="1">
        <v>69</v>
      </c>
      <c r="B72" s="1">
        <v>740</v>
      </c>
      <c r="C72" s="1">
        <v>1758.71</v>
      </c>
      <c r="D72" s="1" t="str">
        <f t="shared" si="4"/>
        <v>20FT</v>
      </c>
      <c r="E72" s="1">
        <f t="shared" si="5"/>
        <v>-29.25</v>
      </c>
      <c r="F72" s="1"/>
      <c r="G72" s="1"/>
    </row>
    <row r="73" spans="1:7" x14ac:dyDescent="0.3">
      <c r="A73" s="1">
        <v>70</v>
      </c>
      <c r="B73" s="1">
        <v>750</v>
      </c>
      <c r="C73" s="1">
        <v>1729.46</v>
      </c>
      <c r="D73" s="1" t="str">
        <f t="shared" si="4"/>
        <v>40FT</v>
      </c>
      <c r="E73" s="1">
        <f t="shared" si="5"/>
        <v>35.75</v>
      </c>
      <c r="F73" s="1"/>
      <c r="G73" s="1"/>
    </row>
    <row r="74" spans="1:7" x14ac:dyDescent="0.3">
      <c r="A74" s="1">
        <v>71</v>
      </c>
      <c r="B74" s="1">
        <v>760</v>
      </c>
      <c r="C74" s="1">
        <v>1765.21</v>
      </c>
      <c r="D74" s="1" t="str">
        <f t="shared" si="4"/>
        <v>20FT</v>
      </c>
      <c r="E74" s="1">
        <f t="shared" si="5"/>
        <v>-29.25</v>
      </c>
      <c r="F74" s="1"/>
      <c r="G74" s="1"/>
    </row>
    <row r="75" spans="1:7" x14ac:dyDescent="0.3">
      <c r="A75" s="1">
        <v>72</v>
      </c>
      <c r="B75" s="1">
        <v>770</v>
      </c>
      <c r="C75" s="1">
        <v>1735.96</v>
      </c>
      <c r="D75" s="1" t="str">
        <f t="shared" si="4"/>
        <v>40FT</v>
      </c>
      <c r="E75" s="1">
        <f t="shared" si="5"/>
        <v>35.75</v>
      </c>
      <c r="F75" s="1"/>
      <c r="G75" s="1"/>
    </row>
    <row r="76" spans="1:7" x14ac:dyDescent="0.3">
      <c r="A76" s="1">
        <v>73</v>
      </c>
      <c r="B76" s="1">
        <v>780</v>
      </c>
      <c r="C76" s="1">
        <v>1771.71</v>
      </c>
      <c r="D76" s="1" t="str">
        <f t="shared" si="4"/>
        <v>20FT</v>
      </c>
      <c r="E76" s="1">
        <f t="shared" si="5"/>
        <v>-29.25</v>
      </c>
      <c r="F76" s="1"/>
      <c r="G76" s="1"/>
    </row>
    <row r="77" spans="1:7" x14ac:dyDescent="0.3">
      <c r="A77" s="1">
        <v>74</v>
      </c>
      <c r="B77" s="1">
        <v>790</v>
      </c>
      <c r="C77" s="1">
        <v>1742.46</v>
      </c>
      <c r="D77" s="1" t="str">
        <f t="shared" si="4"/>
        <v>40FT</v>
      </c>
      <c r="E77" s="1">
        <f t="shared" si="5"/>
        <v>35.75</v>
      </c>
      <c r="F77" s="1"/>
      <c r="G77" s="1"/>
    </row>
    <row r="78" spans="1:7" x14ac:dyDescent="0.3">
      <c r="A78" s="1">
        <v>75</v>
      </c>
      <c r="B78" s="1">
        <v>800</v>
      </c>
      <c r="C78" s="1">
        <v>1778.21</v>
      </c>
      <c r="D78" s="1" t="str">
        <f t="shared" si="4"/>
        <v>20FT</v>
      </c>
      <c r="E78" s="1">
        <f t="shared" si="5"/>
        <v>-29.25</v>
      </c>
      <c r="F78" s="1"/>
      <c r="G78" s="1"/>
    </row>
    <row r="79" spans="1:7" x14ac:dyDescent="0.3">
      <c r="A79" s="1">
        <v>76</v>
      </c>
      <c r="B79" s="1">
        <v>810</v>
      </c>
      <c r="C79" s="1">
        <v>1748.96</v>
      </c>
      <c r="D79" s="1" t="str">
        <f t="shared" si="4"/>
        <v>40FT</v>
      </c>
      <c r="E79" s="1">
        <f t="shared" si="5"/>
        <v>35.75</v>
      </c>
      <c r="F79" s="1"/>
      <c r="G79" s="1"/>
    </row>
    <row r="80" spans="1:7" x14ac:dyDescent="0.3">
      <c r="A80" s="1">
        <v>77</v>
      </c>
      <c r="B80" s="1">
        <v>820</v>
      </c>
      <c r="C80" s="1">
        <v>1784.71</v>
      </c>
      <c r="D80" s="1" t="str">
        <f t="shared" si="4"/>
        <v>20FT</v>
      </c>
      <c r="E80" s="1">
        <f t="shared" si="5"/>
        <v>-29.25</v>
      </c>
      <c r="F80" s="1"/>
      <c r="G80" s="1"/>
    </row>
    <row r="81" spans="1:7" x14ac:dyDescent="0.3">
      <c r="A81" s="1">
        <v>78</v>
      </c>
      <c r="B81" s="1">
        <v>830</v>
      </c>
      <c r="C81" s="1">
        <v>1755.46</v>
      </c>
      <c r="D81" s="1" t="str">
        <f t="shared" si="4"/>
        <v>40FT</v>
      </c>
      <c r="E81" s="1">
        <f t="shared" si="5"/>
        <v>6.5</v>
      </c>
      <c r="F81" s="1"/>
      <c r="G81" s="1"/>
    </row>
    <row r="82" spans="1:7" x14ac:dyDescent="0.3">
      <c r="A82" s="1">
        <v>79</v>
      </c>
      <c r="B82" s="1">
        <v>850</v>
      </c>
      <c r="C82" s="1">
        <v>1761.96</v>
      </c>
      <c r="D82" s="1" t="str">
        <f t="shared" si="4"/>
        <v>20FT</v>
      </c>
      <c r="E82" s="1">
        <f t="shared" si="5"/>
        <v>6.5</v>
      </c>
      <c r="F82" s="1"/>
      <c r="G82" s="1"/>
    </row>
    <row r="83" spans="1:7" x14ac:dyDescent="0.3">
      <c r="A83" s="1">
        <v>80</v>
      </c>
      <c r="B83" s="1">
        <v>870</v>
      </c>
      <c r="C83" s="1">
        <v>1768.46</v>
      </c>
      <c r="D83" s="1" t="str">
        <f t="shared" si="4"/>
        <v>40FT</v>
      </c>
      <c r="E83" s="1">
        <f t="shared" si="5"/>
        <v>6.5</v>
      </c>
      <c r="F83" s="1"/>
      <c r="G83" s="1"/>
    </row>
    <row r="84" spans="1:7" x14ac:dyDescent="0.3">
      <c r="A84" s="1">
        <v>81</v>
      </c>
      <c r="B84" s="1">
        <v>890</v>
      </c>
      <c r="C84" s="1">
        <v>1774.96</v>
      </c>
      <c r="D84" s="1" t="str">
        <f t="shared" si="4"/>
        <v>20FT</v>
      </c>
      <c r="E84" s="1">
        <f t="shared" si="5"/>
        <v>6.5</v>
      </c>
      <c r="F84" s="1"/>
      <c r="G84" s="1"/>
    </row>
    <row r="85" spans="1:7" x14ac:dyDescent="0.3">
      <c r="A85" s="1">
        <v>82</v>
      </c>
      <c r="B85" s="1">
        <v>910</v>
      </c>
      <c r="C85" s="1">
        <v>1781.46</v>
      </c>
      <c r="D85" s="1" t="str">
        <f t="shared" si="4"/>
        <v>40FT</v>
      </c>
      <c r="E85" s="1">
        <f t="shared" si="5"/>
        <v>-1781.46</v>
      </c>
      <c r="F85" s="1"/>
      <c r="G85" s="1"/>
    </row>
    <row r="86" spans="1:7" x14ac:dyDescent="0.3">
      <c r="A86" s="1">
        <v>83</v>
      </c>
      <c r="B86" s="1">
        <f t="shared" ref="B86:B97" si="6">A86*10</f>
        <v>830</v>
      </c>
      <c r="C86" s="1"/>
      <c r="D86" s="1" t="str">
        <f t="shared" si="4"/>
        <v>20FT</v>
      </c>
      <c r="E86" s="1">
        <f t="shared" si="5"/>
        <v>0</v>
      </c>
      <c r="F86" s="1"/>
      <c r="G86" s="1"/>
    </row>
    <row r="87" spans="1:7" x14ac:dyDescent="0.3">
      <c r="A87" s="1">
        <v>84</v>
      </c>
      <c r="B87" s="1">
        <f t="shared" si="6"/>
        <v>840</v>
      </c>
      <c r="C87" s="1"/>
      <c r="D87" s="1" t="str">
        <f t="shared" si="4"/>
        <v>40FT</v>
      </c>
      <c r="E87" s="1">
        <f t="shared" si="5"/>
        <v>0</v>
      </c>
      <c r="F87" s="1"/>
      <c r="G87" s="1"/>
    </row>
    <row r="88" spans="1:7" x14ac:dyDescent="0.3">
      <c r="A88" s="1">
        <v>85</v>
      </c>
      <c r="B88" s="1">
        <f t="shared" si="6"/>
        <v>850</v>
      </c>
      <c r="C88" s="1"/>
      <c r="D88" s="1" t="str">
        <f t="shared" si="4"/>
        <v>20FT</v>
      </c>
      <c r="E88" s="1">
        <f t="shared" si="5"/>
        <v>0</v>
      </c>
      <c r="F88" s="1"/>
      <c r="G88" s="1"/>
    </row>
    <row r="89" spans="1:7" x14ac:dyDescent="0.3">
      <c r="A89" s="1">
        <v>86</v>
      </c>
      <c r="B89" s="1">
        <f t="shared" si="6"/>
        <v>860</v>
      </c>
      <c r="C89" s="1"/>
      <c r="D89" s="1" t="str">
        <f t="shared" si="4"/>
        <v>40FT</v>
      </c>
      <c r="E89" s="1">
        <f t="shared" si="5"/>
        <v>0</v>
      </c>
      <c r="F89" s="1"/>
      <c r="G89" s="1"/>
    </row>
    <row r="90" spans="1:7" x14ac:dyDescent="0.3">
      <c r="A90" s="1">
        <v>87</v>
      </c>
      <c r="B90" s="1">
        <f t="shared" si="6"/>
        <v>870</v>
      </c>
      <c r="C90" s="1"/>
      <c r="D90" s="1" t="str">
        <f t="shared" si="4"/>
        <v>20FT</v>
      </c>
      <c r="E90" s="1">
        <f t="shared" si="5"/>
        <v>0</v>
      </c>
      <c r="F90" s="1"/>
      <c r="G90" s="1"/>
    </row>
    <row r="91" spans="1:7" x14ac:dyDescent="0.3">
      <c r="A91" s="1">
        <v>88</v>
      </c>
      <c r="B91" s="1">
        <f t="shared" si="6"/>
        <v>880</v>
      </c>
      <c r="C91" s="1"/>
      <c r="D91" s="1" t="str">
        <f t="shared" si="4"/>
        <v>40FT</v>
      </c>
      <c r="E91" s="1">
        <f t="shared" si="5"/>
        <v>0</v>
      </c>
      <c r="F91" s="1"/>
      <c r="G91" s="1"/>
    </row>
    <row r="92" spans="1:7" x14ac:dyDescent="0.3">
      <c r="A92" s="1">
        <v>89</v>
      </c>
      <c r="B92" s="1">
        <f t="shared" si="6"/>
        <v>890</v>
      </c>
      <c r="C92" s="1"/>
      <c r="D92" s="1" t="str">
        <f t="shared" si="4"/>
        <v>20FT</v>
      </c>
      <c r="E92" s="1">
        <f t="shared" si="5"/>
        <v>0</v>
      </c>
      <c r="F92" s="1"/>
      <c r="G92" s="1"/>
    </row>
    <row r="93" spans="1:7" x14ac:dyDescent="0.3">
      <c r="A93" s="1">
        <v>90</v>
      </c>
      <c r="B93" s="1">
        <f t="shared" si="6"/>
        <v>900</v>
      </c>
      <c r="C93" s="1"/>
      <c r="D93" s="1" t="str">
        <f t="shared" si="4"/>
        <v>40FT</v>
      </c>
      <c r="E93" s="1">
        <f t="shared" si="5"/>
        <v>0</v>
      </c>
      <c r="F93" s="1"/>
      <c r="G93" s="1"/>
    </row>
    <row r="94" spans="1:7" x14ac:dyDescent="0.3">
      <c r="A94" s="1">
        <v>91</v>
      </c>
      <c r="B94" s="1">
        <f t="shared" si="6"/>
        <v>910</v>
      </c>
      <c r="C94" s="1"/>
      <c r="D94" s="1" t="str">
        <f t="shared" si="4"/>
        <v>20FT</v>
      </c>
      <c r="E94" s="1">
        <f t="shared" si="5"/>
        <v>0</v>
      </c>
      <c r="F94" s="1"/>
      <c r="G94" s="1"/>
    </row>
    <row r="95" spans="1:7" x14ac:dyDescent="0.3">
      <c r="A95" s="1">
        <v>92</v>
      </c>
      <c r="B95" s="1">
        <f t="shared" si="6"/>
        <v>920</v>
      </c>
      <c r="C95" s="1"/>
      <c r="D95" s="1" t="str">
        <f t="shared" si="4"/>
        <v>40FT</v>
      </c>
      <c r="E95" s="1">
        <f t="shared" si="5"/>
        <v>0</v>
      </c>
      <c r="F95" s="1"/>
      <c r="G95" s="1"/>
    </row>
    <row r="96" spans="1:7" x14ac:dyDescent="0.3">
      <c r="A96" s="1">
        <v>93</v>
      </c>
      <c r="B96" s="1">
        <f t="shared" si="6"/>
        <v>930</v>
      </c>
      <c r="C96" s="1"/>
      <c r="D96" s="1" t="str">
        <f t="shared" si="4"/>
        <v>20FT</v>
      </c>
      <c r="E96" s="1">
        <f t="shared" si="5"/>
        <v>0</v>
      </c>
      <c r="F96" s="1"/>
      <c r="G96" s="1"/>
    </row>
    <row r="97" spans="1:7" x14ac:dyDescent="0.3">
      <c r="A97" s="1">
        <v>94</v>
      </c>
      <c r="B97" s="1">
        <f t="shared" si="6"/>
        <v>940</v>
      </c>
      <c r="C97" s="1"/>
      <c r="D97" s="1" t="str">
        <f t="shared" si="4"/>
        <v>40FT</v>
      </c>
      <c r="E97" s="1">
        <f t="shared" si="5"/>
        <v>0</v>
      </c>
      <c r="F97" s="1"/>
      <c r="G97" s="1"/>
    </row>
  </sheetData>
  <mergeCells count="1">
    <mergeCell ref="A1:G1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102"/>
  <sheetViews>
    <sheetView workbookViewId="0">
      <selection activeCell="I13" sqref="I13"/>
    </sheetView>
  </sheetViews>
  <sheetFormatPr defaultRowHeight="16.5" x14ac:dyDescent="0.3"/>
  <cols>
    <col min="1" max="1" width="9.375" bestFit="1" customWidth="1"/>
    <col min="2" max="2" width="7.125" bestFit="1" customWidth="1"/>
    <col min="3" max="3" width="8.5" bestFit="1" customWidth="1"/>
    <col min="4" max="4" width="5.5" bestFit="1" customWidth="1"/>
    <col min="5" max="5" width="8.375" bestFit="1" customWidth="1"/>
    <col min="6" max="6" width="17.25" bestFit="1" customWidth="1"/>
    <col min="7" max="7" width="18.125" bestFit="1" customWidth="1"/>
  </cols>
  <sheetData>
    <row r="1" spans="1:7" ht="26.25" x14ac:dyDescent="0.3">
      <c r="A1" s="17" t="s">
        <v>98</v>
      </c>
      <c r="B1" s="18"/>
      <c r="C1" s="18"/>
      <c r="D1" s="18"/>
      <c r="E1" s="18"/>
      <c r="F1" s="18"/>
      <c r="G1" s="18"/>
    </row>
    <row r="2" spans="1:7" x14ac:dyDescent="0.3">
      <c r="A2" s="11" t="s">
        <v>40</v>
      </c>
      <c r="B2" s="11" t="s">
        <v>2</v>
      </c>
      <c r="C2" s="11" t="s">
        <v>39</v>
      </c>
      <c r="D2" s="11" t="s">
        <v>38</v>
      </c>
      <c r="E2" s="11" t="s">
        <v>37</v>
      </c>
      <c r="F2" s="11" t="s">
        <v>36</v>
      </c>
      <c r="G2" s="11" t="s">
        <v>35</v>
      </c>
    </row>
    <row r="3" spans="1:7" x14ac:dyDescent="0.3">
      <c r="A3" s="1">
        <v>0</v>
      </c>
      <c r="B3" s="1"/>
      <c r="C3" s="1"/>
      <c r="D3" s="1"/>
      <c r="E3" s="1"/>
      <c r="F3" s="1"/>
      <c r="G3" s="1"/>
    </row>
    <row r="4" spans="1:7" x14ac:dyDescent="0.3">
      <c r="A4" s="1">
        <v>1</v>
      </c>
      <c r="B4" s="1">
        <f t="shared" ref="B4:B35" si="0">A4*10</f>
        <v>10</v>
      </c>
      <c r="C4" s="1">
        <v>1122.57</v>
      </c>
      <c r="D4" s="1" t="str">
        <f t="shared" ref="D4:D35" si="1">IF(MOD(A4,2)=1,"20FT","40FT")</f>
        <v>20FT</v>
      </c>
      <c r="E4" s="1">
        <f t="shared" ref="E4:E35" si="2">C5-C4</f>
        <v>4.3700000000001182</v>
      </c>
      <c r="F4" s="1"/>
      <c r="G4" s="1"/>
    </row>
    <row r="5" spans="1:7" x14ac:dyDescent="0.3">
      <c r="A5" s="1">
        <v>2</v>
      </c>
      <c r="B5" s="1">
        <f t="shared" si="0"/>
        <v>20</v>
      </c>
      <c r="C5" s="1">
        <v>1126.94</v>
      </c>
      <c r="D5" s="1" t="str">
        <f t="shared" si="1"/>
        <v>40FT</v>
      </c>
      <c r="E5" s="1">
        <f t="shared" si="2"/>
        <v>3.25</v>
      </c>
      <c r="F5" s="1"/>
      <c r="G5" s="1"/>
    </row>
    <row r="6" spans="1:7" x14ac:dyDescent="0.3">
      <c r="A6" s="1">
        <v>3</v>
      </c>
      <c r="B6" s="1">
        <f t="shared" si="0"/>
        <v>30</v>
      </c>
      <c r="C6" s="1">
        <v>1130.19</v>
      </c>
      <c r="D6" s="1" t="str">
        <f t="shared" si="1"/>
        <v>20FT</v>
      </c>
      <c r="E6" s="1">
        <f t="shared" si="2"/>
        <v>3.25</v>
      </c>
      <c r="F6" s="1"/>
      <c r="G6" s="1"/>
    </row>
    <row r="7" spans="1:7" x14ac:dyDescent="0.3">
      <c r="A7" s="1">
        <v>4</v>
      </c>
      <c r="B7" s="1">
        <f t="shared" si="0"/>
        <v>40</v>
      </c>
      <c r="C7" s="1">
        <v>1133.44</v>
      </c>
      <c r="D7" s="1" t="str">
        <f t="shared" si="1"/>
        <v>40FT</v>
      </c>
      <c r="E7" s="1">
        <f t="shared" si="2"/>
        <v>3.25</v>
      </c>
      <c r="F7" s="1"/>
      <c r="G7" s="1"/>
    </row>
    <row r="8" spans="1:7" x14ac:dyDescent="0.3">
      <c r="A8" s="1">
        <v>5</v>
      </c>
      <c r="B8" s="1">
        <f t="shared" si="0"/>
        <v>50</v>
      </c>
      <c r="C8" s="1">
        <v>1136.69</v>
      </c>
      <c r="D8" s="1" t="str">
        <f t="shared" si="1"/>
        <v>20FT</v>
      </c>
      <c r="E8" s="1">
        <f t="shared" si="2"/>
        <v>3.25</v>
      </c>
      <c r="F8" s="1"/>
      <c r="G8" s="1"/>
    </row>
    <row r="9" spans="1:7" x14ac:dyDescent="0.3">
      <c r="A9" s="1">
        <v>6</v>
      </c>
      <c r="B9" s="1">
        <f t="shared" si="0"/>
        <v>60</v>
      </c>
      <c r="C9" s="1">
        <v>1139.94</v>
      </c>
      <c r="D9" s="1" t="str">
        <f t="shared" si="1"/>
        <v>40FT</v>
      </c>
      <c r="E9" s="1">
        <f t="shared" si="2"/>
        <v>3.25</v>
      </c>
      <c r="F9" s="1"/>
      <c r="G9" s="1"/>
    </row>
    <row r="10" spans="1:7" x14ac:dyDescent="0.3">
      <c r="A10" s="1">
        <v>7</v>
      </c>
      <c r="B10" s="1">
        <f t="shared" si="0"/>
        <v>70</v>
      </c>
      <c r="C10" s="1">
        <v>1143.19</v>
      </c>
      <c r="D10" s="1" t="str">
        <f t="shared" si="1"/>
        <v>20FT</v>
      </c>
      <c r="E10" s="1">
        <f t="shared" si="2"/>
        <v>3.25</v>
      </c>
      <c r="F10" s="1"/>
      <c r="G10" s="1"/>
    </row>
    <row r="11" spans="1:7" x14ac:dyDescent="0.3">
      <c r="A11" s="1">
        <v>8</v>
      </c>
      <c r="B11" s="1">
        <f t="shared" si="0"/>
        <v>80</v>
      </c>
      <c r="C11" s="1">
        <v>1146.44</v>
      </c>
      <c r="D11" s="1" t="str">
        <f t="shared" si="1"/>
        <v>40FT</v>
      </c>
      <c r="E11" s="1">
        <f t="shared" si="2"/>
        <v>3.25</v>
      </c>
      <c r="F11" s="1"/>
      <c r="G11" s="1"/>
    </row>
    <row r="12" spans="1:7" x14ac:dyDescent="0.3">
      <c r="A12" s="1">
        <v>9</v>
      </c>
      <c r="B12" s="1">
        <f t="shared" si="0"/>
        <v>90</v>
      </c>
      <c r="C12" s="1">
        <v>1149.69</v>
      </c>
      <c r="D12" s="1" t="str">
        <f t="shared" si="1"/>
        <v>20FT</v>
      </c>
      <c r="E12" s="1">
        <f t="shared" si="2"/>
        <v>3.25</v>
      </c>
      <c r="F12" s="1"/>
      <c r="G12" s="1"/>
    </row>
    <row r="13" spans="1:7" x14ac:dyDescent="0.3">
      <c r="A13" s="1">
        <v>10</v>
      </c>
      <c r="B13" s="1">
        <f t="shared" si="0"/>
        <v>100</v>
      </c>
      <c r="C13" s="1">
        <v>1152.94</v>
      </c>
      <c r="D13" s="1" t="str">
        <f t="shared" si="1"/>
        <v>40FT</v>
      </c>
      <c r="E13" s="1">
        <f t="shared" si="2"/>
        <v>3.25</v>
      </c>
      <c r="F13" s="1"/>
      <c r="G13" s="1"/>
    </row>
    <row r="14" spans="1:7" x14ac:dyDescent="0.3">
      <c r="A14" s="1">
        <v>11</v>
      </c>
      <c r="B14" s="1">
        <f t="shared" si="0"/>
        <v>110</v>
      </c>
      <c r="C14" s="1">
        <v>1156.19</v>
      </c>
      <c r="D14" s="1" t="str">
        <f t="shared" si="1"/>
        <v>20FT</v>
      </c>
      <c r="E14" s="1">
        <f t="shared" si="2"/>
        <v>3.25</v>
      </c>
      <c r="F14" s="1"/>
      <c r="G14" s="1"/>
    </row>
    <row r="15" spans="1:7" x14ac:dyDescent="0.3">
      <c r="A15" s="1">
        <v>12</v>
      </c>
      <c r="B15" s="1">
        <f t="shared" si="0"/>
        <v>120</v>
      </c>
      <c r="C15" s="1">
        <v>1159.44</v>
      </c>
      <c r="D15" s="1" t="str">
        <f t="shared" si="1"/>
        <v>40FT</v>
      </c>
      <c r="E15" s="1">
        <f t="shared" si="2"/>
        <v>3.25</v>
      </c>
      <c r="F15" s="1"/>
      <c r="G15" s="1"/>
    </row>
    <row r="16" spans="1:7" x14ac:dyDescent="0.3">
      <c r="A16" s="1">
        <v>13</v>
      </c>
      <c r="B16" s="1">
        <f t="shared" si="0"/>
        <v>130</v>
      </c>
      <c r="C16" s="1">
        <v>1162.69</v>
      </c>
      <c r="D16" s="1" t="str">
        <f t="shared" si="1"/>
        <v>20FT</v>
      </c>
      <c r="E16" s="1">
        <f t="shared" si="2"/>
        <v>3.25</v>
      </c>
      <c r="F16" s="1"/>
      <c r="G16" s="1"/>
    </row>
    <row r="17" spans="1:7" x14ac:dyDescent="0.3">
      <c r="A17" s="1">
        <v>14</v>
      </c>
      <c r="B17" s="1">
        <f t="shared" si="0"/>
        <v>140</v>
      </c>
      <c r="C17" s="1">
        <v>1165.94</v>
      </c>
      <c r="D17" s="1" t="str">
        <f t="shared" si="1"/>
        <v>40FT</v>
      </c>
      <c r="E17" s="1">
        <f t="shared" si="2"/>
        <v>3.25</v>
      </c>
      <c r="F17" s="1"/>
      <c r="G17" s="1"/>
    </row>
    <row r="18" spans="1:7" x14ac:dyDescent="0.3">
      <c r="A18" s="1">
        <v>15</v>
      </c>
      <c r="B18" s="1">
        <f t="shared" si="0"/>
        <v>150</v>
      </c>
      <c r="C18" s="1">
        <v>1169.19</v>
      </c>
      <c r="D18" s="1" t="str">
        <f t="shared" si="1"/>
        <v>20FT</v>
      </c>
      <c r="E18" s="1">
        <f t="shared" si="2"/>
        <v>3.25</v>
      </c>
      <c r="F18" s="1"/>
      <c r="G18" s="1"/>
    </row>
    <row r="19" spans="1:7" x14ac:dyDescent="0.3">
      <c r="A19" s="1">
        <v>16</v>
      </c>
      <c r="B19" s="1">
        <f t="shared" si="0"/>
        <v>160</v>
      </c>
      <c r="C19" s="1">
        <v>1172.44</v>
      </c>
      <c r="D19" s="1" t="str">
        <f t="shared" si="1"/>
        <v>40FT</v>
      </c>
      <c r="E19" s="1">
        <f t="shared" si="2"/>
        <v>3.25</v>
      </c>
      <c r="F19" s="1"/>
      <c r="G19" s="1"/>
    </row>
    <row r="20" spans="1:7" x14ac:dyDescent="0.3">
      <c r="A20" s="1">
        <v>17</v>
      </c>
      <c r="B20" s="1">
        <f t="shared" si="0"/>
        <v>170</v>
      </c>
      <c r="C20" s="1">
        <v>1175.69</v>
      </c>
      <c r="D20" s="1" t="str">
        <f t="shared" si="1"/>
        <v>20FT</v>
      </c>
      <c r="E20" s="1">
        <f t="shared" si="2"/>
        <v>3.25</v>
      </c>
      <c r="F20" s="1"/>
      <c r="G20" s="1"/>
    </row>
    <row r="21" spans="1:7" x14ac:dyDescent="0.3">
      <c r="A21" s="1">
        <v>18</v>
      </c>
      <c r="B21" s="1">
        <f t="shared" si="0"/>
        <v>180</v>
      </c>
      <c r="C21" s="1">
        <v>1178.94</v>
      </c>
      <c r="D21" s="1" t="str">
        <f t="shared" si="1"/>
        <v>40FT</v>
      </c>
      <c r="E21" s="1">
        <f t="shared" si="2"/>
        <v>3.25</v>
      </c>
      <c r="F21" s="1"/>
      <c r="G21" s="1"/>
    </row>
    <row r="22" spans="1:7" x14ac:dyDescent="0.3">
      <c r="A22" s="1">
        <v>19</v>
      </c>
      <c r="B22" s="1">
        <f t="shared" si="0"/>
        <v>190</v>
      </c>
      <c r="C22" s="1">
        <v>1182.19</v>
      </c>
      <c r="D22" s="1" t="str">
        <f t="shared" si="1"/>
        <v>20FT</v>
      </c>
      <c r="E22" s="1">
        <f t="shared" si="2"/>
        <v>3.25</v>
      </c>
      <c r="F22" s="1"/>
      <c r="G22" s="1"/>
    </row>
    <row r="23" spans="1:7" x14ac:dyDescent="0.3">
      <c r="A23" s="1">
        <v>20</v>
      </c>
      <c r="B23" s="1">
        <f t="shared" si="0"/>
        <v>200</v>
      </c>
      <c r="C23" s="1">
        <v>1185.44</v>
      </c>
      <c r="D23" s="1" t="str">
        <f t="shared" si="1"/>
        <v>40FT</v>
      </c>
      <c r="E23" s="1">
        <f t="shared" si="2"/>
        <v>3.25</v>
      </c>
      <c r="F23" s="1"/>
      <c r="G23" s="1"/>
    </row>
    <row r="24" spans="1:7" x14ac:dyDescent="0.3">
      <c r="A24" s="1">
        <v>21</v>
      </c>
      <c r="B24" s="1">
        <f t="shared" si="0"/>
        <v>210</v>
      </c>
      <c r="C24" s="1">
        <v>1188.69</v>
      </c>
      <c r="D24" s="1" t="str">
        <f t="shared" si="1"/>
        <v>20FT</v>
      </c>
      <c r="E24" s="1">
        <f t="shared" si="2"/>
        <v>3.25</v>
      </c>
      <c r="F24" s="1"/>
      <c r="G24" s="1"/>
    </row>
    <row r="25" spans="1:7" x14ac:dyDescent="0.3">
      <c r="A25" s="1">
        <v>22</v>
      </c>
      <c r="B25" s="1">
        <f t="shared" si="0"/>
        <v>220</v>
      </c>
      <c r="C25" s="1">
        <v>1191.94</v>
      </c>
      <c r="D25" s="1" t="str">
        <f t="shared" si="1"/>
        <v>40FT</v>
      </c>
      <c r="E25" s="1">
        <f t="shared" si="2"/>
        <v>3.25</v>
      </c>
      <c r="F25" s="1"/>
      <c r="G25" s="1"/>
    </row>
    <row r="26" spans="1:7" x14ac:dyDescent="0.3">
      <c r="A26" s="1">
        <v>23</v>
      </c>
      <c r="B26" s="1">
        <f t="shared" si="0"/>
        <v>230</v>
      </c>
      <c r="C26" s="1">
        <v>1195.19</v>
      </c>
      <c r="D26" s="1" t="str">
        <f t="shared" si="1"/>
        <v>20FT</v>
      </c>
      <c r="E26" s="1">
        <f t="shared" si="2"/>
        <v>3.25</v>
      </c>
      <c r="F26" s="1"/>
      <c r="G26" s="1"/>
    </row>
    <row r="27" spans="1:7" x14ac:dyDescent="0.3">
      <c r="A27" s="1">
        <v>24</v>
      </c>
      <c r="B27" s="1">
        <f t="shared" si="0"/>
        <v>240</v>
      </c>
      <c r="C27" s="1">
        <v>1198.44</v>
      </c>
      <c r="D27" s="1" t="str">
        <f t="shared" si="1"/>
        <v>40FT</v>
      </c>
      <c r="E27" s="1">
        <f t="shared" si="2"/>
        <v>3.25</v>
      </c>
      <c r="F27" s="1"/>
      <c r="G27" s="1"/>
    </row>
    <row r="28" spans="1:7" x14ac:dyDescent="0.3">
      <c r="A28" s="1">
        <v>25</v>
      </c>
      <c r="B28" s="1">
        <f t="shared" si="0"/>
        <v>250</v>
      </c>
      <c r="C28" s="1">
        <v>1201.69</v>
      </c>
      <c r="D28" s="1" t="str">
        <f t="shared" si="1"/>
        <v>20FT</v>
      </c>
      <c r="E28" s="1">
        <f t="shared" si="2"/>
        <v>3.25</v>
      </c>
      <c r="F28" s="1"/>
      <c r="G28" s="1"/>
    </row>
    <row r="29" spans="1:7" x14ac:dyDescent="0.3">
      <c r="A29" s="1">
        <v>26</v>
      </c>
      <c r="B29" s="1">
        <f t="shared" si="0"/>
        <v>260</v>
      </c>
      <c r="C29" s="1">
        <v>1204.94</v>
      </c>
      <c r="D29" s="1" t="str">
        <f t="shared" si="1"/>
        <v>40FT</v>
      </c>
      <c r="E29" s="1">
        <f t="shared" si="2"/>
        <v>3.25</v>
      </c>
      <c r="F29" s="1"/>
      <c r="G29" s="1"/>
    </row>
    <row r="30" spans="1:7" x14ac:dyDescent="0.3">
      <c r="A30" s="1">
        <v>27</v>
      </c>
      <c r="B30" s="1">
        <f t="shared" si="0"/>
        <v>270</v>
      </c>
      <c r="C30" s="1">
        <v>1208.19</v>
      </c>
      <c r="D30" s="1" t="str">
        <f t="shared" si="1"/>
        <v>20FT</v>
      </c>
      <c r="E30" s="1">
        <f t="shared" si="2"/>
        <v>3.25</v>
      </c>
      <c r="F30" s="1"/>
      <c r="G30" s="1"/>
    </row>
    <row r="31" spans="1:7" x14ac:dyDescent="0.3">
      <c r="A31" s="1">
        <v>28</v>
      </c>
      <c r="B31" s="1">
        <f t="shared" si="0"/>
        <v>280</v>
      </c>
      <c r="C31" s="1">
        <v>1211.44</v>
      </c>
      <c r="D31" s="1" t="str">
        <f t="shared" si="1"/>
        <v>40FT</v>
      </c>
      <c r="E31" s="1">
        <f t="shared" si="2"/>
        <v>3.25</v>
      </c>
      <c r="F31" s="1"/>
      <c r="G31" s="1"/>
    </row>
    <row r="32" spans="1:7" x14ac:dyDescent="0.3">
      <c r="A32" s="1">
        <v>29</v>
      </c>
      <c r="B32" s="1">
        <f t="shared" si="0"/>
        <v>290</v>
      </c>
      <c r="C32" s="1">
        <v>1214.69</v>
      </c>
      <c r="D32" s="1" t="str">
        <f t="shared" si="1"/>
        <v>20FT</v>
      </c>
      <c r="E32" s="1">
        <f t="shared" si="2"/>
        <v>3.25</v>
      </c>
      <c r="F32" s="1"/>
      <c r="G32" s="1"/>
    </row>
    <row r="33" spans="1:7" x14ac:dyDescent="0.3">
      <c r="A33" s="1">
        <v>30</v>
      </c>
      <c r="B33" s="1">
        <f t="shared" si="0"/>
        <v>300</v>
      </c>
      <c r="C33" s="1">
        <v>1217.94</v>
      </c>
      <c r="D33" s="1" t="str">
        <f t="shared" si="1"/>
        <v>40FT</v>
      </c>
      <c r="E33" s="1">
        <f t="shared" si="2"/>
        <v>3.25</v>
      </c>
      <c r="F33" s="1"/>
      <c r="G33" s="1"/>
    </row>
    <row r="34" spans="1:7" x14ac:dyDescent="0.3">
      <c r="A34" s="1">
        <v>31</v>
      </c>
      <c r="B34" s="1">
        <f t="shared" si="0"/>
        <v>310</v>
      </c>
      <c r="C34" s="1">
        <v>1221.19</v>
      </c>
      <c r="D34" s="1" t="str">
        <f t="shared" si="1"/>
        <v>20FT</v>
      </c>
      <c r="E34" s="1">
        <f t="shared" si="2"/>
        <v>3.25</v>
      </c>
      <c r="F34" s="1"/>
      <c r="G34" s="1"/>
    </row>
    <row r="35" spans="1:7" x14ac:dyDescent="0.3">
      <c r="A35" s="1">
        <v>32</v>
      </c>
      <c r="B35" s="1">
        <f t="shared" si="0"/>
        <v>320</v>
      </c>
      <c r="C35" s="1">
        <v>1224.44</v>
      </c>
      <c r="D35" s="1" t="str">
        <f t="shared" si="1"/>
        <v>40FT</v>
      </c>
      <c r="E35" s="1">
        <f t="shared" si="2"/>
        <v>3.25</v>
      </c>
      <c r="F35" s="1"/>
      <c r="G35" s="1"/>
    </row>
    <row r="36" spans="1:7" x14ac:dyDescent="0.3">
      <c r="A36" s="1">
        <v>33</v>
      </c>
      <c r="B36" s="1">
        <f t="shared" ref="B36:B67" si="3">A36*10</f>
        <v>330</v>
      </c>
      <c r="C36" s="1">
        <v>1227.69</v>
      </c>
      <c r="D36" s="1" t="str">
        <f t="shared" ref="D36:D67" si="4">IF(MOD(A36,2)=1,"20FT","40FT")</f>
        <v>20FT</v>
      </c>
      <c r="E36" s="1">
        <f t="shared" ref="E36:E67" si="5">C37-C36</f>
        <v>3.25</v>
      </c>
      <c r="F36" s="1"/>
      <c r="G36" s="1"/>
    </row>
    <row r="37" spans="1:7" x14ac:dyDescent="0.3">
      <c r="A37" s="1">
        <v>34</v>
      </c>
      <c r="B37" s="1">
        <f t="shared" si="3"/>
        <v>340</v>
      </c>
      <c r="C37" s="1">
        <v>1230.94</v>
      </c>
      <c r="D37" s="1" t="str">
        <f t="shared" si="4"/>
        <v>40FT</v>
      </c>
      <c r="E37" s="1">
        <f t="shared" si="5"/>
        <v>3.25</v>
      </c>
      <c r="F37" s="1"/>
      <c r="G37" s="1"/>
    </row>
    <row r="38" spans="1:7" x14ac:dyDescent="0.3">
      <c r="A38" s="1">
        <v>35</v>
      </c>
      <c r="B38" s="1">
        <f t="shared" si="3"/>
        <v>350</v>
      </c>
      <c r="C38" s="1">
        <v>1234.19</v>
      </c>
      <c r="D38" s="1" t="str">
        <f t="shared" si="4"/>
        <v>20FT</v>
      </c>
      <c r="E38" s="1">
        <f t="shared" si="5"/>
        <v>3.25</v>
      </c>
      <c r="F38" s="1"/>
      <c r="G38" s="1"/>
    </row>
    <row r="39" spans="1:7" x14ac:dyDescent="0.3">
      <c r="A39" s="1">
        <v>36</v>
      </c>
      <c r="B39" s="1">
        <f t="shared" si="3"/>
        <v>360</v>
      </c>
      <c r="C39" s="1">
        <v>1237.44</v>
      </c>
      <c r="D39" s="1" t="str">
        <f t="shared" si="4"/>
        <v>40FT</v>
      </c>
      <c r="E39" s="1">
        <f t="shared" si="5"/>
        <v>3.25</v>
      </c>
      <c r="F39" s="1"/>
      <c r="G39" s="1"/>
    </row>
    <row r="40" spans="1:7" x14ac:dyDescent="0.3">
      <c r="A40" s="1">
        <v>37</v>
      </c>
      <c r="B40" s="1">
        <f t="shared" si="3"/>
        <v>370</v>
      </c>
      <c r="C40" s="1">
        <v>1240.69</v>
      </c>
      <c r="D40" s="1" t="str">
        <f t="shared" si="4"/>
        <v>20FT</v>
      </c>
      <c r="E40" s="1">
        <f t="shared" si="5"/>
        <v>3.25</v>
      </c>
      <c r="F40" s="1"/>
      <c r="G40" s="1"/>
    </row>
    <row r="41" spans="1:7" x14ac:dyDescent="0.3">
      <c r="A41" s="1">
        <v>38</v>
      </c>
      <c r="B41" s="1">
        <f t="shared" si="3"/>
        <v>380</v>
      </c>
      <c r="C41" s="1">
        <v>1243.94</v>
      </c>
      <c r="D41" s="1" t="str">
        <f t="shared" si="4"/>
        <v>40FT</v>
      </c>
      <c r="E41" s="1">
        <f t="shared" si="5"/>
        <v>3.25</v>
      </c>
      <c r="F41" s="1"/>
      <c r="G41" s="1"/>
    </row>
    <row r="42" spans="1:7" x14ac:dyDescent="0.3">
      <c r="A42" s="1">
        <v>39</v>
      </c>
      <c r="B42" s="1">
        <f t="shared" si="3"/>
        <v>390</v>
      </c>
      <c r="C42" s="1">
        <v>1247.19</v>
      </c>
      <c r="D42" s="1" t="str">
        <f t="shared" si="4"/>
        <v>20FT</v>
      </c>
      <c r="E42" s="1">
        <f t="shared" si="5"/>
        <v>3.25</v>
      </c>
      <c r="F42" s="1"/>
      <c r="G42" s="1"/>
    </row>
    <row r="43" spans="1:7" x14ac:dyDescent="0.3">
      <c r="A43" s="1">
        <v>40</v>
      </c>
      <c r="B43" s="1">
        <f t="shared" si="3"/>
        <v>400</v>
      </c>
      <c r="C43" s="1">
        <v>1250.44</v>
      </c>
      <c r="D43" s="1" t="str">
        <f t="shared" si="4"/>
        <v>40FT</v>
      </c>
      <c r="E43" s="1">
        <f t="shared" si="5"/>
        <v>3.25</v>
      </c>
      <c r="F43" s="1"/>
      <c r="G43" s="1"/>
    </row>
    <row r="44" spans="1:7" x14ac:dyDescent="0.3">
      <c r="A44" s="1">
        <v>41</v>
      </c>
      <c r="B44" s="1">
        <f t="shared" si="3"/>
        <v>410</v>
      </c>
      <c r="C44" s="1">
        <v>1253.69</v>
      </c>
      <c r="D44" s="1" t="str">
        <f t="shared" si="4"/>
        <v>20FT</v>
      </c>
      <c r="E44" s="1">
        <f t="shared" si="5"/>
        <v>3.25</v>
      </c>
      <c r="F44" s="1"/>
      <c r="G44" s="1"/>
    </row>
    <row r="45" spans="1:7" x14ac:dyDescent="0.3">
      <c r="A45" s="1">
        <v>42</v>
      </c>
      <c r="B45" s="1">
        <f t="shared" si="3"/>
        <v>420</v>
      </c>
      <c r="C45" s="1">
        <v>1256.94</v>
      </c>
      <c r="D45" s="1" t="str">
        <f t="shared" si="4"/>
        <v>40FT</v>
      </c>
      <c r="E45" s="1">
        <f t="shared" si="5"/>
        <v>3.25</v>
      </c>
      <c r="F45" s="1"/>
      <c r="G45" s="1"/>
    </row>
    <row r="46" spans="1:7" x14ac:dyDescent="0.3">
      <c r="A46" s="1">
        <v>43</v>
      </c>
      <c r="B46" s="1">
        <f t="shared" si="3"/>
        <v>430</v>
      </c>
      <c r="C46" s="1">
        <v>1260.19</v>
      </c>
      <c r="D46" s="1" t="str">
        <f t="shared" si="4"/>
        <v>20FT</v>
      </c>
      <c r="E46" s="1">
        <f t="shared" si="5"/>
        <v>3.25</v>
      </c>
      <c r="F46" s="1"/>
      <c r="G46" s="1"/>
    </row>
    <row r="47" spans="1:7" x14ac:dyDescent="0.3">
      <c r="A47" s="1">
        <v>44</v>
      </c>
      <c r="B47" s="1">
        <f t="shared" si="3"/>
        <v>440</v>
      </c>
      <c r="C47" s="1">
        <v>1263.44</v>
      </c>
      <c r="D47" s="1" t="str">
        <f t="shared" si="4"/>
        <v>40FT</v>
      </c>
      <c r="E47" s="1">
        <f t="shared" si="5"/>
        <v>3.25</v>
      </c>
      <c r="F47" s="1"/>
      <c r="G47" s="1"/>
    </row>
    <row r="48" spans="1:7" x14ac:dyDescent="0.3">
      <c r="A48" s="1">
        <v>45</v>
      </c>
      <c r="B48" s="1">
        <f t="shared" si="3"/>
        <v>450</v>
      </c>
      <c r="C48" s="1">
        <v>1266.69</v>
      </c>
      <c r="D48" s="1" t="str">
        <f t="shared" si="4"/>
        <v>20FT</v>
      </c>
      <c r="E48" s="1">
        <f t="shared" si="5"/>
        <v>3.25</v>
      </c>
      <c r="F48" s="1"/>
      <c r="G48" s="1"/>
    </row>
    <row r="49" spans="1:7" x14ac:dyDescent="0.3">
      <c r="A49" s="1">
        <v>46</v>
      </c>
      <c r="B49" s="1">
        <f t="shared" si="3"/>
        <v>460</v>
      </c>
      <c r="C49" s="1">
        <v>1269.94</v>
      </c>
      <c r="D49" s="1" t="str">
        <f t="shared" si="4"/>
        <v>40FT</v>
      </c>
      <c r="E49" s="1">
        <f t="shared" si="5"/>
        <v>3.25</v>
      </c>
      <c r="F49" s="1"/>
      <c r="G49" s="1"/>
    </row>
    <row r="50" spans="1:7" x14ac:dyDescent="0.3">
      <c r="A50" s="1">
        <v>47</v>
      </c>
      <c r="B50" s="1">
        <f t="shared" si="3"/>
        <v>470</v>
      </c>
      <c r="C50" s="1">
        <v>1273.19</v>
      </c>
      <c r="D50" s="1" t="str">
        <f t="shared" si="4"/>
        <v>20FT</v>
      </c>
      <c r="E50" s="1">
        <f t="shared" si="5"/>
        <v>3.25</v>
      </c>
      <c r="F50" s="1"/>
      <c r="G50" s="1"/>
    </row>
    <row r="51" spans="1:7" x14ac:dyDescent="0.3">
      <c r="A51" s="1">
        <v>48</v>
      </c>
      <c r="B51" s="1">
        <f t="shared" si="3"/>
        <v>480</v>
      </c>
      <c r="C51" s="1">
        <v>1276.44</v>
      </c>
      <c r="D51" s="1" t="str">
        <f t="shared" si="4"/>
        <v>40FT</v>
      </c>
      <c r="E51" s="1">
        <f t="shared" si="5"/>
        <v>3.25</v>
      </c>
      <c r="F51" s="1"/>
      <c r="G51" s="1"/>
    </row>
    <row r="52" spans="1:7" x14ac:dyDescent="0.3">
      <c r="A52" s="1">
        <v>49</v>
      </c>
      <c r="B52" s="1">
        <f t="shared" si="3"/>
        <v>490</v>
      </c>
      <c r="C52" s="1">
        <v>1279.69</v>
      </c>
      <c r="D52" s="1" t="str">
        <f t="shared" si="4"/>
        <v>20FT</v>
      </c>
      <c r="E52" s="1">
        <f t="shared" si="5"/>
        <v>3.25</v>
      </c>
      <c r="F52" s="1"/>
      <c r="G52" s="1"/>
    </row>
    <row r="53" spans="1:7" x14ac:dyDescent="0.3">
      <c r="A53" s="1">
        <v>50</v>
      </c>
      <c r="B53" s="1">
        <f t="shared" si="3"/>
        <v>500</v>
      </c>
      <c r="C53" s="1">
        <v>1282.94</v>
      </c>
      <c r="D53" s="1" t="str">
        <f t="shared" si="4"/>
        <v>40FT</v>
      </c>
      <c r="E53" s="1">
        <f t="shared" si="5"/>
        <v>3.25</v>
      </c>
      <c r="F53" s="1"/>
      <c r="G53" s="1"/>
    </row>
    <row r="54" spans="1:7" x14ac:dyDescent="0.3">
      <c r="A54" s="1">
        <v>51</v>
      </c>
      <c r="B54" s="1">
        <f t="shared" si="3"/>
        <v>510</v>
      </c>
      <c r="C54" s="1">
        <v>1286.19</v>
      </c>
      <c r="D54" s="1" t="str">
        <f t="shared" si="4"/>
        <v>20FT</v>
      </c>
      <c r="E54" s="1">
        <f t="shared" si="5"/>
        <v>3.25</v>
      </c>
      <c r="F54" s="1"/>
      <c r="G54" s="1"/>
    </row>
    <row r="55" spans="1:7" x14ac:dyDescent="0.3">
      <c r="A55" s="1">
        <v>52</v>
      </c>
      <c r="B55" s="1">
        <f t="shared" si="3"/>
        <v>520</v>
      </c>
      <c r="C55" s="1">
        <v>1289.44</v>
      </c>
      <c r="D55" s="1" t="str">
        <f t="shared" si="4"/>
        <v>40FT</v>
      </c>
      <c r="E55" s="1">
        <f t="shared" si="5"/>
        <v>3.25</v>
      </c>
      <c r="F55" s="1"/>
      <c r="G55" s="1"/>
    </row>
    <row r="56" spans="1:7" x14ac:dyDescent="0.3">
      <c r="A56" s="1">
        <v>53</v>
      </c>
      <c r="B56" s="1">
        <f t="shared" si="3"/>
        <v>530</v>
      </c>
      <c r="C56" s="1">
        <v>1292.69</v>
      </c>
      <c r="D56" s="1" t="str">
        <f t="shared" si="4"/>
        <v>20FT</v>
      </c>
      <c r="E56" s="1">
        <f t="shared" si="5"/>
        <v>3.25</v>
      </c>
      <c r="F56" s="1"/>
      <c r="G56" s="1"/>
    </row>
    <row r="57" spans="1:7" x14ac:dyDescent="0.3">
      <c r="A57" s="1">
        <v>54</v>
      </c>
      <c r="B57" s="1">
        <f t="shared" si="3"/>
        <v>540</v>
      </c>
      <c r="C57" s="1">
        <v>1295.94</v>
      </c>
      <c r="D57" s="1" t="str">
        <f t="shared" si="4"/>
        <v>40FT</v>
      </c>
      <c r="E57" s="1">
        <f t="shared" si="5"/>
        <v>3.25</v>
      </c>
      <c r="F57" s="1"/>
      <c r="G57" s="1"/>
    </row>
    <row r="58" spans="1:7" x14ac:dyDescent="0.3">
      <c r="A58" s="1">
        <v>55</v>
      </c>
      <c r="B58" s="1">
        <f t="shared" si="3"/>
        <v>550</v>
      </c>
      <c r="C58" s="1">
        <v>1299.19</v>
      </c>
      <c r="D58" s="1" t="str">
        <f t="shared" si="4"/>
        <v>20FT</v>
      </c>
      <c r="E58" s="1">
        <f t="shared" si="5"/>
        <v>3.25</v>
      </c>
      <c r="F58" s="1"/>
      <c r="G58" s="1"/>
    </row>
    <row r="59" spans="1:7" x14ac:dyDescent="0.3">
      <c r="A59" s="1">
        <v>56</v>
      </c>
      <c r="B59" s="1">
        <f t="shared" si="3"/>
        <v>560</v>
      </c>
      <c r="C59" s="1">
        <v>1302.44</v>
      </c>
      <c r="D59" s="1" t="str">
        <f t="shared" si="4"/>
        <v>40FT</v>
      </c>
      <c r="E59" s="1">
        <f t="shared" si="5"/>
        <v>3.25</v>
      </c>
      <c r="F59" s="1"/>
      <c r="G59" s="1"/>
    </row>
    <row r="60" spans="1:7" x14ac:dyDescent="0.3">
      <c r="A60" s="1">
        <v>57</v>
      </c>
      <c r="B60" s="1">
        <f t="shared" si="3"/>
        <v>570</v>
      </c>
      <c r="C60" s="1">
        <v>1305.69</v>
      </c>
      <c r="D60" s="1" t="str">
        <f t="shared" si="4"/>
        <v>20FT</v>
      </c>
      <c r="E60" s="1">
        <f t="shared" si="5"/>
        <v>3.25</v>
      </c>
      <c r="F60" s="1"/>
      <c r="G60" s="1"/>
    </row>
    <row r="61" spans="1:7" x14ac:dyDescent="0.3">
      <c r="A61" s="1">
        <v>58</v>
      </c>
      <c r="B61" s="1">
        <f t="shared" si="3"/>
        <v>580</v>
      </c>
      <c r="C61" s="1">
        <v>1308.94</v>
      </c>
      <c r="D61" s="1" t="str">
        <f t="shared" si="4"/>
        <v>40FT</v>
      </c>
      <c r="E61" s="1">
        <f t="shared" si="5"/>
        <v>3.25</v>
      </c>
      <c r="F61" s="1"/>
      <c r="G61" s="1"/>
    </row>
    <row r="62" spans="1:7" x14ac:dyDescent="0.3">
      <c r="A62" s="1">
        <v>59</v>
      </c>
      <c r="B62" s="1">
        <f t="shared" si="3"/>
        <v>590</v>
      </c>
      <c r="C62" s="1">
        <v>1312.19</v>
      </c>
      <c r="D62" s="1" t="str">
        <f t="shared" si="4"/>
        <v>20FT</v>
      </c>
      <c r="E62" s="1">
        <f t="shared" si="5"/>
        <v>3.25</v>
      </c>
      <c r="F62" s="1"/>
      <c r="G62" s="1"/>
    </row>
    <row r="63" spans="1:7" x14ac:dyDescent="0.3">
      <c r="A63" s="1">
        <v>60</v>
      </c>
      <c r="B63" s="1">
        <f t="shared" si="3"/>
        <v>600</v>
      </c>
      <c r="C63" s="1">
        <v>1315.44</v>
      </c>
      <c r="D63" s="1" t="str">
        <f t="shared" si="4"/>
        <v>40FT</v>
      </c>
      <c r="E63" s="1">
        <f t="shared" si="5"/>
        <v>3.25</v>
      </c>
      <c r="F63" s="1"/>
      <c r="G63" s="1"/>
    </row>
    <row r="64" spans="1:7" x14ac:dyDescent="0.3">
      <c r="A64" s="1">
        <v>61</v>
      </c>
      <c r="B64" s="1">
        <f t="shared" si="3"/>
        <v>610</v>
      </c>
      <c r="C64" s="1">
        <v>1318.69</v>
      </c>
      <c r="D64" s="1" t="str">
        <f t="shared" si="4"/>
        <v>20FT</v>
      </c>
      <c r="E64" s="1">
        <f t="shared" si="5"/>
        <v>3.25</v>
      </c>
      <c r="F64" s="1"/>
      <c r="G64" s="1"/>
    </row>
    <row r="65" spans="1:7" x14ac:dyDescent="0.3">
      <c r="A65" s="1">
        <v>62</v>
      </c>
      <c r="B65" s="1">
        <f t="shared" si="3"/>
        <v>620</v>
      </c>
      <c r="C65" s="1">
        <v>1321.94</v>
      </c>
      <c r="D65" s="1" t="str">
        <f t="shared" si="4"/>
        <v>40FT</v>
      </c>
      <c r="E65" s="1">
        <f t="shared" si="5"/>
        <v>3.25</v>
      </c>
      <c r="F65" s="1"/>
      <c r="G65" s="1"/>
    </row>
    <row r="66" spans="1:7" x14ac:dyDescent="0.3">
      <c r="A66" s="1">
        <v>63</v>
      </c>
      <c r="B66" s="1">
        <f t="shared" si="3"/>
        <v>630</v>
      </c>
      <c r="C66" s="1">
        <v>1325.19</v>
      </c>
      <c r="D66" s="1" t="str">
        <f t="shared" si="4"/>
        <v>20FT</v>
      </c>
      <c r="E66" s="1">
        <f t="shared" si="5"/>
        <v>3.25</v>
      </c>
      <c r="F66" s="1"/>
      <c r="G66" s="1"/>
    </row>
    <row r="67" spans="1:7" x14ac:dyDescent="0.3">
      <c r="A67" s="1">
        <v>64</v>
      </c>
      <c r="B67" s="1">
        <f t="shared" si="3"/>
        <v>640</v>
      </c>
      <c r="C67" s="1">
        <v>1328.44</v>
      </c>
      <c r="D67" s="1" t="str">
        <f t="shared" si="4"/>
        <v>40FT</v>
      </c>
      <c r="E67" s="1">
        <f t="shared" si="5"/>
        <v>3.25</v>
      </c>
      <c r="F67" s="1"/>
      <c r="G67" s="1"/>
    </row>
    <row r="68" spans="1:7" x14ac:dyDescent="0.3">
      <c r="A68" s="1">
        <v>65</v>
      </c>
      <c r="B68" s="1">
        <f t="shared" ref="B68:B97" si="6">A68*10</f>
        <v>650</v>
      </c>
      <c r="C68" s="1">
        <v>1331.69</v>
      </c>
      <c r="D68" s="1" t="str">
        <f t="shared" ref="D68:D97" si="7">IF(MOD(A68,2)=1,"20FT","40FT")</f>
        <v>20FT</v>
      </c>
      <c r="E68" s="1">
        <f t="shared" ref="E68:E97" si="8">C69-C68</f>
        <v>3.25</v>
      </c>
      <c r="F68" s="1"/>
      <c r="G68" s="1"/>
    </row>
    <row r="69" spans="1:7" x14ac:dyDescent="0.3">
      <c r="A69" s="1">
        <v>66</v>
      </c>
      <c r="B69" s="1">
        <f t="shared" si="6"/>
        <v>660</v>
      </c>
      <c r="C69" s="1">
        <v>1334.94</v>
      </c>
      <c r="D69" s="1" t="str">
        <f t="shared" si="7"/>
        <v>40FT</v>
      </c>
      <c r="E69" s="1">
        <f t="shared" si="8"/>
        <v>3.25</v>
      </c>
      <c r="F69" s="1"/>
      <c r="G69" s="1"/>
    </row>
    <row r="70" spans="1:7" x14ac:dyDescent="0.3">
      <c r="A70" s="1">
        <v>67</v>
      </c>
      <c r="B70" s="1">
        <f t="shared" si="6"/>
        <v>670</v>
      </c>
      <c r="C70" s="1">
        <v>1338.19</v>
      </c>
      <c r="D70" s="1" t="str">
        <f t="shared" si="7"/>
        <v>20FT</v>
      </c>
      <c r="E70" s="1">
        <f t="shared" si="8"/>
        <v>3.25</v>
      </c>
      <c r="F70" s="1"/>
      <c r="G70" s="1"/>
    </row>
    <row r="71" spans="1:7" x14ac:dyDescent="0.3">
      <c r="A71" s="1">
        <v>68</v>
      </c>
      <c r="B71" s="1">
        <f t="shared" si="6"/>
        <v>680</v>
      </c>
      <c r="C71" s="1">
        <v>1341.44</v>
      </c>
      <c r="D71" s="1" t="str">
        <f t="shared" si="7"/>
        <v>40FT</v>
      </c>
      <c r="E71" s="1">
        <f t="shared" si="8"/>
        <v>3.25</v>
      </c>
      <c r="F71" s="1"/>
      <c r="G71" s="1"/>
    </row>
    <row r="72" spans="1:7" x14ac:dyDescent="0.3">
      <c r="A72" s="1">
        <v>69</v>
      </c>
      <c r="B72" s="1">
        <f t="shared" si="6"/>
        <v>690</v>
      </c>
      <c r="C72" s="1">
        <v>1344.69</v>
      </c>
      <c r="D72" s="1" t="str">
        <f t="shared" si="7"/>
        <v>20FT</v>
      </c>
      <c r="E72" s="1">
        <f t="shared" si="8"/>
        <v>3.25</v>
      </c>
      <c r="F72" s="1"/>
      <c r="G72" s="1"/>
    </row>
    <row r="73" spans="1:7" x14ac:dyDescent="0.3">
      <c r="A73" s="1">
        <v>70</v>
      </c>
      <c r="B73" s="1">
        <f t="shared" si="6"/>
        <v>700</v>
      </c>
      <c r="C73" s="1">
        <v>1347.94</v>
      </c>
      <c r="D73" s="1" t="str">
        <f t="shared" si="7"/>
        <v>40FT</v>
      </c>
      <c r="E73" s="1">
        <f t="shared" si="8"/>
        <v>3.25</v>
      </c>
      <c r="F73" s="1"/>
      <c r="G73" s="1"/>
    </row>
    <row r="74" spans="1:7" x14ac:dyDescent="0.3">
      <c r="A74" s="1">
        <v>71</v>
      </c>
      <c r="B74" s="1">
        <f t="shared" si="6"/>
        <v>710</v>
      </c>
      <c r="C74" s="1">
        <v>1351.19</v>
      </c>
      <c r="D74" s="1" t="str">
        <f t="shared" si="7"/>
        <v>20FT</v>
      </c>
      <c r="E74" s="1">
        <f t="shared" si="8"/>
        <v>3.25</v>
      </c>
      <c r="F74" s="1"/>
      <c r="G74" s="1"/>
    </row>
    <row r="75" spans="1:7" x14ac:dyDescent="0.3">
      <c r="A75" s="1">
        <v>72</v>
      </c>
      <c r="B75" s="1">
        <f t="shared" si="6"/>
        <v>720</v>
      </c>
      <c r="C75" s="1">
        <v>1354.44</v>
      </c>
      <c r="D75" s="1" t="str">
        <f t="shared" si="7"/>
        <v>40FT</v>
      </c>
      <c r="E75" s="1">
        <f t="shared" si="8"/>
        <v>3.25</v>
      </c>
      <c r="F75" s="1"/>
      <c r="G75" s="1"/>
    </row>
    <row r="76" spans="1:7" x14ac:dyDescent="0.3">
      <c r="A76" s="1">
        <v>73</v>
      </c>
      <c r="B76" s="1">
        <f t="shared" si="6"/>
        <v>730</v>
      </c>
      <c r="C76" s="1">
        <v>1357.69</v>
      </c>
      <c r="D76" s="1" t="str">
        <f t="shared" si="7"/>
        <v>20FT</v>
      </c>
      <c r="E76" s="1">
        <f t="shared" si="8"/>
        <v>3.25</v>
      </c>
      <c r="F76" s="1"/>
      <c r="G76" s="1"/>
    </row>
    <row r="77" spans="1:7" x14ac:dyDescent="0.3">
      <c r="A77" s="1">
        <v>74</v>
      </c>
      <c r="B77" s="1">
        <f t="shared" si="6"/>
        <v>740</v>
      </c>
      <c r="C77" s="1">
        <v>1360.94</v>
      </c>
      <c r="D77" s="1" t="str">
        <f t="shared" si="7"/>
        <v>40FT</v>
      </c>
      <c r="E77" s="1">
        <f t="shared" si="8"/>
        <v>3.25</v>
      </c>
      <c r="F77" s="1"/>
      <c r="G77" s="1"/>
    </row>
    <row r="78" spans="1:7" x14ac:dyDescent="0.3">
      <c r="A78" s="1">
        <v>75</v>
      </c>
      <c r="B78" s="1">
        <f t="shared" si="6"/>
        <v>750</v>
      </c>
      <c r="C78" s="1">
        <v>1364.19</v>
      </c>
      <c r="D78" s="1" t="str">
        <f t="shared" si="7"/>
        <v>20FT</v>
      </c>
      <c r="E78" s="1">
        <f t="shared" si="8"/>
        <v>3.25</v>
      </c>
      <c r="F78" s="1"/>
      <c r="G78" s="1"/>
    </row>
    <row r="79" spans="1:7" x14ac:dyDescent="0.3">
      <c r="A79" s="1">
        <v>76</v>
      </c>
      <c r="B79" s="1">
        <f t="shared" si="6"/>
        <v>760</v>
      </c>
      <c r="C79" s="1">
        <v>1367.44</v>
      </c>
      <c r="D79" s="1" t="str">
        <f t="shared" si="7"/>
        <v>40FT</v>
      </c>
      <c r="E79" s="1">
        <f t="shared" si="8"/>
        <v>3.25</v>
      </c>
      <c r="F79" s="1"/>
      <c r="G79" s="1"/>
    </row>
    <row r="80" spans="1:7" x14ac:dyDescent="0.3">
      <c r="A80" s="1">
        <v>77</v>
      </c>
      <c r="B80" s="1">
        <f t="shared" si="6"/>
        <v>770</v>
      </c>
      <c r="C80" s="1">
        <v>1370.69</v>
      </c>
      <c r="D80" s="1" t="str">
        <f t="shared" si="7"/>
        <v>20FT</v>
      </c>
      <c r="E80" s="1">
        <f t="shared" si="8"/>
        <v>3.25</v>
      </c>
      <c r="F80" s="1"/>
      <c r="G80" s="1"/>
    </row>
    <row r="81" spans="1:7" x14ac:dyDescent="0.3">
      <c r="A81" s="1">
        <v>78</v>
      </c>
      <c r="B81" s="1">
        <f t="shared" si="6"/>
        <v>780</v>
      </c>
      <c r="C81" s="1">
        <v>1373.94</v>
      </c>
      <c r="D81" s="1" t="str">
        <f t="shared" si="7"/>
        <v>40FT</v>
      </c>
      <c r="E81" s="1">
        <f t="shared" si="8"/>
        <v>3.25</v>
      </c>
      <c r="F81" s="1"/>
      <c r="G81" s="1"/>
    </row>
    <row r="82" spans="1:7" x14ac:dyDescent="0.3">
      <c r="A82" s="1">
        <v>79</v>
      </c>
      <c r="B82" s="1">
        <f t="shared" si="6"/>
        <v>790</v>
      </c>
      <c r="C82" s="1">
        <v>1377.19</v>
      </c>
      <c r="D82" s="1" t="str">
        <f t="shared" si="7"/>
        <v>20FT</v>
      </c>
      <c r="E82" s="1">
        <f t="shared" si="8"/>
        <v>3.25</v>
      </c>
      <c r="F82" s="1"/>
      <c r="G82" s="1"/>
    </row>
    <row r="83" spans="1:7" x14ac:dyDescent="0.3">
      <c r="A83" s="1">
        <v>80</v>
      </c>
      <c r="B83" s="1">
        <f t="shared" si="6"/>
        <v>800</v>
      </c>
      <c r="C83" s="1">
        <v>1380.44</v>
      </c>
      <c r="D83" s="1" t="str">
        <f t="shared" si="7"/>
        <v>40FT</v>
      </c>
      <c r="E83" s="1">
        <f t="shared" si="8"/>
        <v>3.25</v>
      </c>
      <c r="F83" s="1"/>
      <c r="G83" s="1"/>
    </row>
    <row r="84" spans="1:7" x14ac:dyDescent="0.3">
      <c r="A84" s="1">
        <v>81</v>
      </c>
      <c r="B84" s="1">
        <f t="shared" si="6"/>
        <v>810</v>
      </c>
      <c r="C84" s="1">
        <v>1383.69</v>
      </c>
      <c r="D84" s="1" t="str">
        <f t="shared" si="7"/>
        <v>20FT</v>
      </c>
      <c r="E84" s="1">
        <f t="shared" si="8"/>
        <v>3.25</v>
      </c>
      <c r="F84" s="1"/>
      <c r="G84" s="1"/>
    </row>
    <row r="85" spans="1:7" x14ac:dyDescent="0.3">
      <c r="A85" s="1">
        <v>82</v>
      </c>
      <c r="B85" s="1">
        <f t="shared" si="6"/>
        <v>820</v>
      </c>
      <c r="C85" s="1">
        <v>1386.94</v>
      </c>
      <c r="D85" s="1" t="str">
        <f t="shared" si="7"/>
        <v>40FT</v>
      </c>
      <c r="E85" s="1">
        <f t="shared" si="8"/>
        <v>3.25</v>
      </c>
      <c r="F85" s="1"/>
      <c r="G85" s="1"/>
    </row>
    <row r="86" spans="1:7" x14ac:dyDescent="0.3">
      <c r="A86" s="1">
        <v>83</v>
      </c>
      <c r="B86" s="1">
        <f t="shared" si="6"/>
        <v>830</v>
      </c>
      <c r="C86" s="1">
        <v>1390.19</v>
      </c>
      <c r="D86" s="1" t="str">
        <f t="shared" si="7"/>
        <v>20FT</v>
      </c>
      <c r="E86" s="1">
        <f t="shared" si="8"/>
        <v>3.25</v>
      </c>
      <c r="F86" s="1"/>
      <c r="G86" s="1"/>
    </row>
    <row r="87" spans="1:7" x14ac:dyDescent="0.3">
      <c r="A87" s="1">
        <v>84</v>
      </c>
      <c r="B87" s="1">
        <f t="shared" si="6"/>
        <v>840</v>
      </c>
      <c r="C87" s="1">
        <v>1393.44</v>
      </c>
      <c r="D87" s="1" t="str">
        <f t="shared" si="7"/>
        <v>40FT</v>
      </c>
      <c r="E87" s="1">
        <f t="shared" si="8"/>
        <v>3.25</v>
      </c>
      <c r="F87" s="1"/>
      <c r="G87" s="1"/>
    </row>
    <row r="88" spans="1:7" x14ac:dyDescent="0.3">
      <c r="A88" s="1">
        <v>85</v>
      </c>
      <c r="B88" s="1">
        <f t="shared" si="6"/>
        <v>850</v>
      </c>
      <c r="C88" s="1">
        <v>1396.69</v>
      </c>
      <c r="D88" s="1" t="str">
        <f t="shared" si="7"/>
        <v>20FT</v>
      </c>
      <c r="E88" s="1">
        <f t="shared" si="8"/>
        <v>3.25</v>
      </c>
      <c r="F88" s="1"/>
      <c r="G88" s="1"/>
    </row>
    <row r="89" spans="1:7" x14ac:dyDescent="0.3">
      <c r="A89" s="1">
        <v>86</v>
      </c>
      <c r="B89" s="1">
        <f t="shared" si="6"/>
        <v>860</v>
      </c>
      <c r="C89" s="1">
        <v>1399.94</v>
      </c>
      <c r="D89" s="1" t="str">
        <f t="shared" si="7"/>
        <v>40FT</v>
      </c>
      <c r="E89" s="1">
        <f t="shared" si="8"/>
        <v>3.25</v>
      </c>
      <c r="F89" s="1"/>
      <c r="G89" s="1"/>
    </row>
    <row r="90" spans="1:7" x14ac:dyDescent="0.3">
      <c r="A90" s="1">
        <v>87</v>
      </c>
      <c r="B90" s="1">
        <f t="shared" si="6"/>
        <v>870</v>
      </c>
      <c r="C90" s="1">
        <v>1403.19</v>
      </c>
      <c r="D90" s="1" t="str">
        <f t="shared" si="7"/>
        <v>20FT</v>
      </c>
      <c r="E90" s="1">
        <f t="shared" si="8"/>
        <v>3.25</v>
      </c>
      <c r="F90" s="1"/>
      <c r="G90" s="1"/>
    </row>
    <row r="91" spans="1:7" x14ac:dyDescent="0.3">
      <c r="A91" s="1">
        <v>88</v>
      </c>
      <c r="B91" s="1">
        <f t="shared" si="6"/>
        <v>880</v>
      </c>
      <c r="C91" s="1">
        <v>1406.44</v>
      </c>
      <c r="D91" s="1" t="str">
        <f t="shared" si="7"/>
        <v>40FT</v>
      </c>
      <c r="E91" s="1">
        <f t="shared" si="8"/>
        <v>3.25</v>
      </c>
      <c r="F91" s="1"/>
      <c r="G91" s="1"/>
    </row>
    <row r="92" spans="1:7" x14ac:dyDescent="0.3">
      <c r="A92" s="1">
        <v>89</v>
      </c>
      <c r="B92" s="1">
        <f t="shared" si="6"/>
        <v>890</v>
      </c>
      <c r="C92" s="1">
        <v>1409.69</v>
      </c>
      <c r="D92" s="1" t="str">
        <f t="shared" si="7"/>
        <v>20FT</v>
      </c>
      <c r="E92" s="1">
        <f t="shared" si="8"/>
        <v>3.25</v>
      </c>
      <c r="F92" s="1"/>
      <c r="G92" s="1"/>
    </row>
    <row r="93" spans="1:7" x14ac:dyDescent="0.3">
      <c r="A93" s="1">
        <v>90</v>
      </c>
      <c r="B93" s="1">
        <f t="shared" si="6"/>
        <v>900</v>
      </c>
      <c r="C93" s="1">
        <v>1412.94</v>
      </c>
      <c r="D93" s="1" t="str">
        <f t="shared" si="7"/>
        <v>40FT</v>
      </c>
      <c r="E93" s="1">
        <f t="shared" si="8"/>
        <v>3.25</v>
      </c>
      <c r="F93" s="1"/>
      <c r="G93" s="1"/>
    </row>
    <row r="94" spans="1:7" x14ac:dyDescent="0.3">
      <c r="A94" s="1">
        <v>91</v>
      </c>
      <c r="B94" s="1">
        <f t="shared" si="6"/>
        <v>910</v>
      </c>
      <c r="C94" s="1">
        <v>1416.19</v>
      </c>
      <c r="D94" s="1" t="str">
        <f t="shared" si="7"/>
        <v>20FT</v>
      </c>
      <c r="E94" s="1">
        <f t="shared" si="8"/>
        <v>3.25</v>
      </c>
      <c r="F94" s="1"/>
      <c r="G94" s="1"/>
    </row>
    <row r="95" spans="1:7" x14ac:dyDescent="0.3">
      <c r="A95" s="1">
        <v>92</v>
      </c>
      <c r="B95" s="1">
        <f t="shared" si="6"/>
        <v>920</v>
      </c>
      <c r="C95" s="1">
        <v>1419.44</v>
      </c>
      <c r="D95" s="1" t="str">
        <f t="shared" si="7"/>
        <v>40FT</v>
      </c>
      <c r="E95" s="1">
        <f t="shared" si="8"/>
        <v>3.25</v>
      </c>
      <c r="F95" s="1"/>
      <c r="G95" s="1"/>
    </row>
    <row r="96" spans="1:7" x14ac:dyDescent="0.3">
      <c r="A96" s="1">
        <v>93</v>
      </c>
      <c r="B96" s="1">
        <f t="shared" si="6"/>
        <v>930</v>
      </c>
      <c r="C96" s="1">
        <v>1422.69</v>
      </c>
      <c r="D96" s="1" t="str">
        <f t="shared" si="7"/>
        <v>20FT</v>
      </c>
      <c r="E96" s="1">
        <f t="shared" si="8"/>
        <v>3.25</v>
      </c>
      <c r="F96" s="1"/>
      <c r="G96" s="1"/>
    </row>
    <row r="97" spans="1:7" x14ac:dyDescent="0.3">
      <c r="A97" s="1">
        <v>94</v>
      </c>
      <c r="B97" s="1">
        <f t="shared" si="6"/>
        <v>940</v>
      </c>
      <c r="C97" s="1">
        <v>1425.94</v>
      </c>
      <c r="D97" s="1" t="str">
        <f t="shared" si="7"/>
        <v>40FT</v>
      </c>
      <c r="E97" s="1">
        <f t="shared" si="8"/>
        <v>3.25</v>
      </c>
      <c r="F97" s="1"/>
      <c r="G97" s="1"/>
    </row>
    <row r="98" spans="1:7" x14ac:dyDescent="0.3">
      <c r="A98" s="1"/>
      <c r="B98" s="1"/>
      <c r="C98" s="1">
        <v>1429.19</v>
      </c>
      <c r="D98" s="1"/>
      <c r="E98" s="1"/>
      <c r="F98" s="1"/>
      <c r="G98" s="1"/>
    </row>
    <row r="99" spans="1:7" x14ac:dyDescent="0.3">
      <c r="A99" s="1"/>
      <c r="B99" s="1"/>
      <c r="C99" s="1">
        <v>1432.44</v>
      </c>
      <c r="D99" s="1"/>
      <c r="E99" s="1"/>
      <c r="F99" s="1"/>
      <c r="G99" s="1"/>
    </row>
    <row r="100" spans="1:7" x14ac:dyDescent="0.3">
      <c r="A100" s="1"/>
      <c r="B100" s="1"/>
      <c r="C100" s="1">
        <v>1435.69</v>
      </c>
      <c r="D100" s="1"/>
      <c r="E100" s="1"/>
      <c r="F100" s="1"/>
      <c r="G100" s="1"/>
    </row>
    <row r="101" spans="1:7" x14ac:dyDescent="0.3">
      <c r="A101" s="1"/>
      <c r="B101" s="1"/>
      <c r="C101" s="1">
        <v>1440.06</v>
      </c>
      <c r="D101" s="1"/>
      <c r="E101" s="1"/>
      <c r="F101" s="1"/>
      <c r="G101" s="1"/>
    </row>
    <row r="102" spans="1:7" x14ac:dyDescent="0.3">
      <c r="A102" s="1"/>
      <c r="B102" s="1"/>
      <c r="C102" s="1">
        <v>1443.31</v>
      </c>
      <c r="D102" s="1"/>
      <c r="E102" s="1"/>
      <c r="F102" s="1"/>
      <c r="G102" s="1"/>
    </row>
  </sheetData>
  <mergeCells count="1">
    <mergeCell ref="A1:G1"/>
  </mergeCells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F21" sqref="F21"/>
    </sheetView>
  </sheetViews>
  <sheetFormatPr defaultRowHeight="16.5" x14ac:dyDescent="0.3"/>
  <cols>
    <col min="1" max="1" width="15.25" customWidth="1"/>
    <col min="2" max="2" width="13.125" customWidth="1"/>
    <col min="3" max="3" width="14.25" customWidth="1"/>
    <col min="4" max="4" width="10.125" customWidth="1"/>
    <col min="5" max="5" width="13.625" customWidth="1"/>
  </cols>
  <sheetData>
    <row r="1" spans="1:5" x14ac:dyDescent="0.3">
      <c r="A1" s="2" t="s">
        <v>5</v>
      </c>
      <c r="B1" s="2" t="s">
        <v>3</v>
      </c>
      <c r="C1" s="2" t="s">
        <v>4</v>
      </c>
      <c r="D1" s="2" t="s">
        <v>0</v>
      </c>
      <c r="E1" s="2" t="s">
        <v>1</v>
      </c>
    </row>
    <row r="2" spans="1:5" x14ac:dyDescent="0.3">
      <c r="A2" s="1" t="s">
        <v>6</v>
      </c>
      <c r="B2" s="1">
        <v>1</v>
      </c>
      <c r="C2" s="1">
        <v>-3.7519999999999998</v>
      </c>
      <c r="D2" s="1" t="s">
        <v>17</v>
      </c>
      <c r="E2" s="1">
        <v>0</v>
      </c>
    </row>
    <row r="3" spans="1:5" x14ac:dyDescent="0.3">
      <c r="A3" s="1" t="s">
        <v>7</v>
      </c>
      <c r="B3" s="1">
        <v>10</v>
      </c>
      <c r="C3" s="1">
        <v>2.823</v>
      </c>
      <c r="D3" s="1" t="s">
        <v>19</v>
      </c>
      <c r="E3" s="1">
        <f>C3-C2</f>
        <v>6.5749999999999993</v>
      </c>
    </row>
    <row r="4" spans="1:5" x14ac:dyDescent="0.3">
      <c r="A4" s="1" t="s">
        <v>8</v>
      </c>
      <c r="B4" s="1">
        <v>20</v>
      </c>
      <c r="C4" s="1">
        <v>5.6660000000000004</v>
      </c>
      <c r="D4" s="1" t="s">
        <v>19</v>
      </c>
      <c r="E4" s="1">
        <f t="shared" ref="E4:E12" si="0">C4-C3</f>
        <v>2.8430000000000004</v>
      </c>
    </row>
    <row r="5" spans="1:5" x14ac:dyDescent="0.3">
      <c r="A5" s="1" t="s">
        <v>9</v>
      </c>
      <c r="B5" s="1">
        <v>30</v>
      </c>
      <c r="C5" s="1">
        <v>8.5090000000000003</v>
      </c>
      <c r="D5" s="1" t="s">
        <v>19</v>
      </c>
      <c r="E5" s="1">
        <f t="shared" si="0"/>
        <v>2.843</v>
      </c>
    </row>
    <row r="6" spans="1:5" x14ac:dyDescent="0.3">
      <c r="A6" s="1" t="s">
        <v>10</v>
      </c>
      <c r="B6" s="1">
        <v>40</v>
      </c>
      <c r="C6" s="1">
        <v>11.352</v>
      </c>
      <c r="D6" s="1" t="s">
        <v>19</v>
      </c>
      <c r="E6" s="1">
        <f t="shared" si="0"/>
        <v>2.843</v>
      </c>
    </row>
    <row r="7" spans="1:5" x14ac:dyDescent="0.3">
      <c r="A7" s="1" t="s">
        <v>11</v>
      </c>
      <c r="B7" s="1">
        <v>50</v>
      </c>
      <c r="C7" s="1">
        <v>14.195</v>
      </c>
      <c r="D7" s="1" t="s">
        <v>19</v>
      </c>
      <c r="E7" s="1">
        <f t="shared" si="0"/>
        <v>2.843</v>
      </c>
    </row>
    <row r="8" spans="1:5" x14ac:dyDescent="0.3">
      <c r="A8" s="1" t="s">
        <v>12</v>
      </c>
      <c r="B8" s="1">
        <v>60</v>
      </c>
      <c r="C8" s="1">
        <v>17.038</v>
      </c>
      <c r="D8" s="1" t="s">
        <v>19</v>
      </c>
      <c r="E8" s="1">
        <f t="shared" si="0"/>
        <v>2.843</v>
      </c>
    </row>
    <row r="9" spans="1:5" x14ac:dyDescent="0.3">
      <c r="A9" s="1" t="s">
        <v>13</v>
      </c>
      <c r="B9" s="1">
        <v>70</v>
      </c>
      <c r="C9" s="1">
        <v>19.881</v>
      </c>
      <c r="D9" s="1" t="s">
        <v>19</v>
      </c>
      <c r="E9" s="1">
        <f t="shared" si="0"/>
        <v>2.843</v>
      </c>
    </row>
    <row r="10" spans="1:5" x14ac:dyDescent="0.3">
      <c r="A10" s="1" t="s">
        <v>14</v>
      </c>
      <c r="B10" s="1">
        <v>80</v>
      </c>
      <c r="C10" s="1">
        <v>22.724</v>
      </c>
      <c r="D10" s="1" t="s">
        <v>19</v>
      </c>
      <c r="E10" s="1">
        <f t="shared" si="0"/>
        <v>2.843</v>
      </c>
    </row>
    <row r="11" spans="1:5" x14ac:dyDescent="0.3">
      <c r="A11" s="1" t="s">
        <v>15</v>
      </c>
      <c r="B11" s="1">
        <v>90</v>
      </c>
      <c r="C11" s="1">
        <v>25.567</v>
      </c>
      <c r="D11" s="1" t="s">
        <v>19</v>
      </c>
      <c r="E11" s="1">
        <f t="shared" si="0"/>
        <v>2.843</v>
      </c>
    </row>
    <row r="12" spans="1:5" x14ac:dyDescent="0.3">
      <c r="A12" s="1" t="s">
        <v>16</v>
      </c>
      <c r="B12" s="1">
        <v>2</v>
      </c>
      <c r="C12" s="1">
        <v>32.615000000000002</v>
      </c>
      <c r="D12" s="1" t="s">
        <v>18</v>
      </c>
      <c r="E12" s="1">
        <f t="shared" si="0"/>
        <v>7.0480000000000018</v>
      </c>
    </row>
  </sheetData>
  <autoFilter ref="A1:E1"/>
  <phoneticPr fontId="18" type="noConversion"/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D31" sqref="D31"/>
    </sheetView>
  </sheetViews>
  <sheetFormatPr defaultRowHeight="16.5" x14ac:dyDescent="0.3"/>
  <cols>
    <col min="1" max="1" width="16" customWidth="1"/>
    <col min="2" max="2" width="16.75" style="5" customWidth="1"/>
    <col min="3" max="3" width="15.875" style="5" customWidth="1"/>
    <col min="4" max="4" width="15.375" style="5" customWidth="1"/>
    <col min="7" max="7" width="22.375" bestFit="1" customWidth="1"/>
    <col min="8" max="8" width="9.5" bestFit="1" customWidth="1"/>
  </cols>
  <sheetData>
    <row r="1" spans="1:9" x14ac:dyDescent="0.3">
      <c r="A1" s="2" t="s">
        <v>20</v>
      </c>
      <c r="B1" s="3" t="s">
        <v>23</v>
      </c>
      <c r="C1" s="3" t="s">
        <v>24</v>
      </c>
      <c r="D1" s="3" t="s">
        <v>25</v>
      </c>
      <c r="G1" s="1"/>
      <c r="H1" s="1" t="s">
        <v>16</v>
      </c>
      <c r="I1" s="1" t="s">
        <v>6</v>
      </c>
    </row>
    <row r="2" spans="1:9" x14ac:dyDescent="0.3">
      <c r="A2" s="1" t="s">
        <v>21</v>
      </c>
      <c r="B2" s="4">
        <v>2603</v>
      </c>
      <c r="C2" s="4">
        <v>14.7</v>
      </c>
      <c r="D2" s="4">
        <v>21</v>
      </c>
      <c r="G2" s="1" t="s">
        <v>26</v>
      </c>
      <c r="H2" s="6">
        <v>2879.498</v>
      </c>
      <c r="I2" s="6">
        <v>2879.4760000000001</v>
      </c>
    </row>
    <row r="3" spans="1:9" x14ac:dyDescent="0.3">
      <c r="A3" s="1" t="s">
        <v>22</v>
      </c>
      <c r="B3" s="4">
        <v>2834.82</v>
      </c>
      <c r="C3" s="4">
        <v>14.7</v>
      </c>
      <c r="D3" s="4">
        <v>21</v>
      </c>
      <c r="G3" s="1" t="s">
        <v>27</v>
      </c>
      <c r="H3" s="6">
        <v>2575.0419999999999</v>
      </c>
      <c r="I3" s="6">
        <v>2575.027</v>
      </c>
    </row>
  </sheetData>
  <autoFilter ref="A1:D1"/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G82_Row</vt:lpstr>
      <vt:lpstr>G81_Row</vt:lpstr>
      <vt:lpstr>G72_Row</vt:lpstr>
      <vt:lpstr>Block-8G</vt:lpstr>
      <vt:lpstr>Block-7G</vt:lpstr>
      <vt:lpstr>Block-6G</vt:lpstr>
      <vt:lpstr>Block-5G(확인중)</vt:lpstr>
      <vt:lpstr>Block-4G</vt:lpstr>
      <vt:lpstr>PNC_Row_Position_Table</vt:lpstr>
      <vt:lpstr>Park_Position_Table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2025-02-06T02:57:22Z</dcterms:created>
  <dcterms:modified xsi:type="dcterms:W3CDTF">2025-12-18T07:02:33Z</dcterms:modified>
</cp:coreProperties>
</file>